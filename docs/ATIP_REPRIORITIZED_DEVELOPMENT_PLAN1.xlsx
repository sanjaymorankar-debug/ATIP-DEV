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ATIP-dev\docs\"/>
    </mc:Choice>
  </mc:AlternateContent>
  <xr:revisionPtr revIDLastSave="0" documentId="13_ncr:20001_{1921012A-F3EF-42C6-BB05-B126309EA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9" r:id="rId1"/>
    <sheet name="Executive Summary" sheetId="1" r:id="rId2"/>
    <sheet name="Development Waves" sheetId="2" r:id="rId3"/>
    <sheet name="Priority Features" sheetId="3" r:id="rId4"/>
    <sheet name="Multi-Role Plan" sheetId="4" r:id="rId5"/>
    <sheet name="Key Observations" sheetId="5" r:id="rId6"/>
    <sheet name="Target Architecture" sheetId="6" r:id="rId7"/>
    <sheet name="Source_Sheet1" sheetId="7" r:id="rId8"/>
    <sheet name="Source_ATIP_MASTER_TRACKER" sheetId="8" r:id="rId9"/>
  </sheets>
  <definedNames>
    <definedName name="_xlnm._FilterDatabase" localSheetId="2" hidden="1">'Development Waves'!$A$1:$G$10</definedName>
    <definedName name="_xlnm._FilterDatabase" localSheetId="5" hidden="1">'Key Observations'!$A$1:$D$11</definedName>
    <definedName name="_xlnm._FilterDatabase" localSheetId="4" hidden="1">'Multi-Role Plan'!$A$1:$D$8</definedName>
    <definedName name="_xlnm._FilterDatabase" localSheetId="3" hidden="1">'Priority Features'!$A$1:$F$99</definedName>
    <definedName name="_xlnm._FilterDatabase" localSheetId="8" hidden="1">Source_ATIP_MASTER_TRACKER!$A$1:$V$259</definedName>
    <definedName name="_xlnm._FilterDatabase" localSheetId="7" hidden="1">Source_Sheet1!$A$1:$F$100</definedName>
    <definedName name="_xlnm._FilterDatabase" localSheetId="6" hidden="1">'Target Architecture'!$A$1:$C$16</definedName>
  </definedNames>
  <calcPr calcId="191029"/>
  <pivotCaches>
    <pivotCache cacheId="8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9" l="1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J5" i="9"/>
  <c r="I5" i="9"/>
  <c r="H5" i="9"/>
</calcChain>
</file>

<file path=xl/sharedStrings.xml><?xml version="1.0" encoding="utf-8"?>
<sst xmlns="http://schemas.openxmlformats.org/spreadsheetml/2006/main" count="4149" uniqueCount="1661">
  <si>
    <t>ATIP RE-PRIORITIZED DEVELOPMENT PLAN</t>
  </si>
  <si>
    <t>Purpose</t>
  </si>
  <si>
    <t>Reorganize the existing ATIP tracker into dependency-based development waves, with multi-role architecture and final cloud/Claude deployment last.</t>
  </si>
  <si>
    <t>Primary principle</t>
  </si>
  <si>
    <t>Protect completed baseline functionality; build research/backtesting before advanced AI; implement multi-role after the core engine; deploy last.</t>
  </si>
  <si>
    <t>Source</t>
  </si>
  <si>
    <t>ATIP_MASTER_TRACKER.xlsx + development observations from the current review.</t>
  </si>
  <si>
    <t>Target waves</t>
  </si>
  <si>
    <t>W1 Foundation → W2 Research/Backtesting → W3 Strategy → W4 Risk/Execution → W5 AI/ML → W6 Advanced Quant → W7 Multi-Role → W8 Production → W9 Deployment</t>
  </si>
  <si>
    <t>Completed baseline</t>
  </si>
  <si>
    <t>58 items identified in the current tracker summary; do not disturb working functionality.</t>
  </si>
  <si>
    <t>Enterprise SaaS</t>
  </si>
  <si>
    <t>Treat as a later layer. Define interfaces/role boundaries early, but avoid letting SaaS features delay the core trading engine.</t>
  </si>
  <si>
    <t>Deployment</t>
  </si>
  <si>
    <t>Claude/cloud deployment is explicitly the LAST step.</t>
  </si>
  <si>
    <t>Wave</t>
  </si>
  <si>
    <t>Name</t>
  </si>
  <si>
    <t>Objective</t>
  </si>
  <si>
    <t>Outcome</t>
  </si>
  <si>
    <t>Priority</t>
  </si>
  <si>
    <t>Dependency Principle</t>
  </si>
  <si>
    <t>Scope Areas</t>
  </si>
  <si>
    <t>W1</t>
  </si>
  <si>
    <t>Foundation Completion</t>
  </si>
  <si>
    <t>Finish core data, portfolio, jobs, monitoring and foundational risk capabilities.</t>
  </si>
  <si>
    <t>Core platform</t>
  </si>
  <si>
    <t>P0</t>
  </si>
  <si>
    <t>Must precede advanced strategy work</t>
  </si>
  <si>
    <t>Foundation; Data; Portfolio; Monitoring; Risk</t>
  </si>
  <si>
    <t>W2</t>
  </si>
  <si>
    <t>Research &amp; Backtesting</t>
  </si>
  <si>
    <t>Build a trustworthy research and backtesting environment with realistic costs, slippage and robustness analysis.</t>
  </si>
  <si>
    <t>Research engine</t>
  </si>
  <si>
    <t>Required before relying on new strategies</t>
  </si>
  <si>
    <t>Backtesting; Quant Research</t>
  </si>
  <si>
    <t>W3</t>
  </si>
  <si>
    <t>Strategy Engine</t>
  </si>
  <si>
    <t>Turn indicators/factors/signals into reusable, configurable and lifecycle-managed strategies.</t>
  </si>
  <si>
    <t>Strategy platform</t>
  </si>
  <si>
    <t>Depends on W1-W2</t>
  </si>
  <si>
    <t>Strategy Engine; Signal Engine</t>
  </si>
  <si>
    <t>W4</t>
  </si>
  <si>
    <t>Risk &amp; Execution</t>
  </si>
  <si>
    <t>Complete risk controls, execution, reconciliation and operational safeguards.</t>
  </si>
  <si>
    <t>Controlled trading pipeline</t>
  </si>
  <si>
    <t>Depends on W1-W3</t>
  </si>
  <si>
    <t>Risk; Execution; Broker</t>
  </si>
  <si>
    <t>W5</t>
  </si>
  <si>
    <t>AI/ML</t>
  </si>
  <si>
    <t>Add validated ML, model registry, feature selection, ensembles, regimes and monitoring.</t>
  </si>
  <si>
    <t>ML-enhanced ATIP</t>
  </si>
  <si>
    <t>P1</t>
  </si>
  <si>
    <t>Depends on reliable research/backtesting</t>
  </si>
  <si>
    <t>W6</t>
  </si>
  <si>
    <t>Advanced Quant</t>
  </si>
  <si>
    <t>Add institutional-style quantitative research capabilities such as advanced factors, microstructure, stat-arb and alternative data.</t>
  </si>
  <si>
    <t>Advanced quant platform</t>
  </si>
  <si>
    <t>Depends on W1-W5 and suitable data</t>
  </si>
  <si>
    <t>W7</t>
  </si>
  <si>
    <t>Multi-Role / Enterprise</t>
  </si>
  <si>
    <t>Add RBAC, user profiles, broker credential controls, multi-user APIs and role-specific workflows.</t>
  </si>
  <si>
    <t>Multi-role platform</t>
  </si>
  <si>
    <t>Design early; implement after core engine</t>
  </si>
  <si>
    <t>Enterprise SaaS; Security</t>
  </si>
  <si>
    <t>W8</t>
  </si>
  <si>
    <t>Production Hardening</t>
  </si>
  <si>
    <t>Complete security, backups, observability, DR, documentation and operational readiness.</t>
  </si>
  <si>
    <t>Production-ready system</t>
  </si>
  <si>
    <t>Before public/production deployment</t>
  </si>
  <si>
    <t>Production Hardening; Security; Operations</t>
  </si>
  <si>
    <t>W9</t>
  </si>
  <si>
    <t>Final Deployment</t>
  </si>
  <si>
    <t>Perform final integration and deploy the stable system to the target cloud/Claude environment.</t>
  </si>
  <si>
    <t>LAST STEP</t>
  </si>
  <si>
    <t>Area</t>
  </si>
  <si>
    <t>ID</t>
  </si>
  <si>
    <t>Feature</t>
  </si>
  <si>
    <t>Implementation Objective</t>
  </si>
  <si>
    <t>Foundation</t>
  </si>
  <si>
    <t>SC-13</t>
  </si>
  <si>
    <t>Fundamental Score</t>
  </si>
  <si>
    <t>Complete foundation scoring component</t>
  </si>
  <si>
    <t>SC-02</t>
  </si>
  <si>
    <t>SPI</t>
  </si>
  <si>
    <t>Complete SPI implementation</t>
  </si>
  <si>
    <t>Portfolio</t>
  </si>
  <si>
    <t>PF-01</t>
  </si>
  <si>
    <t>Portfolio ingestion</t>
  </si>
  <si>
    <t>Reliable portfolio ingestion</t>
  </si>
  <si>
    <t>PF-02</t>
  </si>
  <si>
    <t>Portfolio holdings/P&amp;L</t>
  </si>
  <si>
    <t>Authoritative holdings and P&amp;L state</t>
  </si>
  <si>
    <t>PF-13</t>
  </si>
  <si>
    <t>Daily P&amp;L</t>
  </si>
  <si>
    <t>Daily portfolio performance</t>
  </si>
  <si>
    <t>Broker</t>
  </si>
  <si>
    <t>BR-04</t>
  </si>
  <si>
    <t>Portfolio sync</t>
  </si>
  <si>
    <t>Synchronize portfolio with broker</t>
  </si>
  <si>
    <t>Risk</t>
  </si>
  <si>
    <t>RK-13</t>
  </si>
  <si>
    <t>Risk-based sizing</t>
  </si>
  <si>
    <t>Position sizing based on risk</t>
  </si>
  <si>
    <t>RK-07</t>
  </si>
  <si>
    <t>Daily loss limit</t>
  </si>
  <si>
    <t>Enforce daily loss limit</t>
  </si>
  <si>
    <t>RK-08</t>
  </si>
  <si>
    <t>Drawdown limit</t>
  </si>
  <si>
    <t>Enforce drawdown limit</t>
  </si>
  <si>
    <t>Data</t>
  </si>
  <si>
    <t>DP-19</t>
  </si>
  <si>
    <t>Data-quality layer</t>
  </si>
  <si>
    <t>Validate and monitor data quality</t>
  </si>
  <si>
    <t>Monitoring</t>
  </si>
  <si>
    <t>MON-01</t>
  </si>
  <si>
    <t>Job logging</t>
  </si>
  <si>
    <t>Track scheduled/background jobs</t>
  </si>
  <si>
    <t>MON-02</t>
  </si>
  <si>
    <t>Stalled-job detection</t>
  </si>
  <si>
    <t>Detect stalled jobs</t>
  </si>
  <si>
    <t>MON-03</t>
  </si>
  <si>
    <t>Failure alerting</t>
  </si>
  <si>
    <t>Alert on critical failures</t>
  </si>
  <si>
    <t>News</t>
  </si>
  <si>
    <t>NS-01</t>
  </si>
  <si>
    <t>News ingestion</t>
  </si>
  <si>
    <t>Establish news ingestion foundation</t>
  </si>
  <si>
    <t>Database</t>
  </si>
  <si>
    <t>DBS-06</t>
  </si>
  <si>
    <t>Timestamp consistency</t>
  </si>
  <si>
    <t>Normalize timestamp handling</t>
  </si>
  <si>
    <t>Operations</t>
  </si>
  <si>
    <t>OPS-03</t>
  </si>
  <si>
    <t>Installation/setup</t>
  </si>
  <si>
    <t>Document and automate setup</t>
  </si>
  <si>
    <t>Backtesting</t>
  </si>
  <si>
    <t>BT-16</t>
  </si>
  <si>
    <t>Dated equity curve/run records</t>
  </si>
  <si>
    <t>Persist reproducible backtest runs</t>
  </si>
  <si>
    <t>BT-08</t>
  </si>
  <si>
    <t>Portfolio-level backtest</t>
  </si>
  <si>
    <t>Backtest complete portfolios</t>
  </si>
  <si>
    <t>BT-09</t>
  </si>
  <si>
    <t>Drawdown analysis</t>
  </si>
  <si>
    <t>Analyze drawdowns</t>
  </si>
  <si>
    <t>BT-11</t>
  </si>
  <si>
    <t>Performance metrics</t>
  </si>
  <si>
    <t>Sharpe, Sortino, CAGR, Calmar</t>
  </si>
  <si>
    <t>BT-12</t>
  </si>
  <si>
    <t>VaR/CVaR</t>
  </si>
  <si>
    <t>Risk-adjusted tail metrics</t>
  </si>
  <si>
    <t>BT-05</t>
  </si>
  <si>
    <t>Transaction-cost model</t>
  </si>
  <si>
    <t>Model brokerage and transaction costs</t>
  </si>
  <si>
    <t>BT-06</t>
  </si>
  <si>
    <t>Slippage</t>
  </si>
  <si>
    <t>Model realistic slippage</t>
  </si>
  <si>
    <t>BT-07</t>
  </si>
  <si>
    <t>Liquidity constraints</t>
  </si>
  <si>
    <t>Account for liquidity</t>
  </si>
  <si>
    <t>BT-03</t>
  </si>
  <si>
    <t>In/out-of-sample</t>
  </si>
  <si>
    <t>Separate training and evaluation periods</t>
  </si>
  <si>
    <t>BT-02</t>
  </si>
  <si>
    <t>Walk-forward</t>
  </si>
  <si>
    <t>Walk-forward validation</t>
  </si>
  <si>
    <t>BT-13</t>
  </si>
  <si>
    <t>Monte Carlo</t>
  </si>
  <si>
    <t>Robustness simulation</t>
  </si>
  <si>
    <t>BT-15</t>
  </si>
  <si>
    <t>Bias controls</t>
  </si>
  <si>
    <t>Control look-ahead/survivorship/data leakage</t>
  </si>
  <si>
    <t>Strategy</t>
  </si>
  <si>
    <t>SE-01</t>
  </si>
  <si>
    <t>Strategy interface/registry</t>
  </si>
  <si>
    <t>Standard reusable strategy framework</t>
  </si>
  <si>
    <t>SE-02</t>
  </si>
  <si>
    <t>Strategy parameters</t>
  </si>
  <si>
    <t>Central parameter management</t>
  </si>
  <si>
    <t>SE-03</t>
  </si>
  <si>
    <t>Rule-based strategies</t>
  </si>
  <si>
    <t>Reusable rule strategy layer</t>
  </si>
  <si>
    <t>SE-06</t>
  </si>
  <si>
    <t>Multi-factor strategy</t>
  </si>
  <si>
    <t>Combine factors into strategies</t>
  </si>
  <si>
    <t>SE-04</t>
  </si>
  <si>
    <t>Quant strategies</t>
  </si>
  <si>
    <t>Support quantitative strategy types</t>
  </si>
  <si>
    <t>SE-09</t>
  </si>
  <si>
    <t>Strategy lifecycle</t>
  </si>
  <si>
    <t>Draft/test/approved/deployed/retired states</t>
  </si>
  <si>
    <t>SE-11</t>
  </si>
  <si>
    <t>Strategy health</t>
  </si>
  <si>
    <t>Monitor strategy health</t>
  </si>
  <si>
    <t>SE-07</t>
  </si>
  <si>
    <t>Strategy combination/selection</t>
  </si>
  <si>
    <t>Combine/select strategies</t>
  </si>
  <si>
    <t>SE-08</t>
  </si>
  <si>
    <t>Regime-aware selection</t>
  </si>
  <si>
    <t>Select strategies by market regime</t>
  </si>
  <si>
    <t>Signal</t>
  </si>
  <si>
    <t>SG-04</t>
  </si>
  <si>
    <t>Rich decision states</t>
  </si>
  <si>
    <t>Standardize signal/decision states</t>
  </si>
  <si>
    <t>RK-16</t>
  </si>
  <si>
    <t>Emergency exit</t>
  </si>
  <si>
    <t>One-command flatten with confirmation</t>
  </si>
  <si>
    <t>Execution</t>
  </si>
  <si>
    <t>EX-02</t>
  </si>
  <si>
    <t>Order types</t>
  </si>
  <si>
    <t>Support required order types</t>
  </si>
  <si>
    <t>EX-08</t>
  </si>
  <si>
    <t>Order modify/cancel</t>
  </si>
  <si>
    <t>Modify and cancel orders</t>
  </si>
  <si>
    <t>BR-05</t>
  </si>
  <si>
    <t>Execution reconciliation</t>
  </si>
  <si>
    <t>Reconcile broker execution</t>
  </si>
  <si>
    <t>BR-06</t>
  </si>
  <si>
    <t>Broker connection health</t>
  </si>
  <si>
    <t>Monitor broker connectivity</t>
  </si>
  <si>
    <t>RK-17</t>
  </si>
  <si>
    <t>Broker/operational risk</t>
  </si>
  <si>
    <t>Operational and broker risk controls</t>
  </si>
  <si>
    <t>EX-09</t>
  </si>
  <si>
    <t>Measured slippage</t>
  </si>
  <si>
    <t>Capture actual execution slippage</t>
  </si>
  <si>
    <t>EX-10</t>
  </si>
  <si>
    <t>Execution analytics</t>
  </si>
  <si>
    <t>Analyze execution quality</t>
  </si>
  <si>
    <t>MON-04</t>
  </si>
  <si>
    <t>Live strategy/P&amp;L monitoring</t>
  </si>
  <si>
    <t>Monitor live strategy and P&amp;L</t>
  </si>
  <si>
    <t>Security</t>
  </si>
  <si>
    <t>SEC-03</t>
  </si>
  <si>
    <t>Audit logging</t>
  </si>
  <si>
    <t>Immutable/traceable audit trail</t>
  </si>
  <si>
    <t>ML</t>
  </si>
  <si>
    <t>ML-13</t>
  </si>
  <si>
    <t>Labels/targets</t>
  </si>
  <si>
    <t>Define reproducible ML targets</t>
  </si>
  <si>
    <t>ML-08</t>
  </si>
  <si>
    <t>Model validation</t>
  </si>
  <si>
    <t>Validate models correctly</t>
  </si>
  <si>
    <t>ML-01</t>
  </si>
  <si>
    <t>Supervised ML</t>
  </si>
  <si>
    <t>Add validated supervised ML models</t>
  </si>
  <si>
    <t>ML-12</t>
  </si>
  <si>
    <t>Model registry/versioning</t>
  </si>
  <si>
    <t>Version and manage models</t>
  </si>
  <si>
    <t>ML-07</t>
  </si>
  <si>
    <t>Feature selection</t>
  </si>
  <si>
    <t>Select robust features</t>
  </si>
  <si>
    <t>ML-11</t>
  </si>
  <si>
    <t>Ensemble models</t>
  </si>
  <si>
    <t>Combine model outputs</t>
  </si>
  <si>
    <t>ML-09</t>
  </si>
  <si>
    <t>Model monitoring/drift</t>
  </si>
  <si>
    <t>Monitor model degradation</t>
  </si>
  <si>
    <t>ML-10</t>
  </si>
  <si>
    <t>Explainability</t>
  </si>
  <si>
    <t>Explain model outputs</t>
  </si>
  <si>
    <t>ML-05</t>
  </si>
  <si>
    <t>Regime detection</t>
  </si>
  <si>
    <t>Detect market regimes</t>
  </si>
  <si>
    <t>AQ-01</t>
  </si>
  <si>
    <t>Tick data</t>
  </si>
  <si>
    <t>Support tick-level research</t>
  </si>
  <si>
    <t>P2</t>
  </si>
  <si>
    <t>AQ-02</t>
  </si>
  <si>
    <t>Order-book/depth</t>
  </si>
  <si>
    <t>Support depth/microstructure research</t>
  </si>
  <si>
    <t>AQ-03</t>
  </si>
  <si>
    <t>Microstructure factors</t>
  </si>
  <si>
    <t>Develop microstructure factors</t>
  </si>
  <si>
    <t>AQ-04</t>
  </si>
  <si>
    <t>Derivatives factors</t>
  </si>
  <si>
    <t>Develop derivatives-specific factors</t>
  </si>
  <si>
    <t>AQ-05</t>
  </si>
  <si>
    <t>Volatility strategies</t>
  </si>
  <si>
    <t>Systematic volatility strategies</t>
  </si>
  <si>
    <t>AQ-06</t>
  </si>
  <si>
    <t>Statistical arbitrage</t>
  </si>
  <si>
    <t>Stat-arb research framework</t>
  </si>
  <si>
    <t>AQ-07</t>
  </si>
  <si>
    <t>Pairs/cointegration</t>
  </si>
  <si>
    <t>Pairs and cointegration research</t>
  </si>
  <si>
    <t>AQ-08</t>
  </si>
  <si>
    <t>Cross-sectional/market-neutral</t>
  </si>
  <si>
    <t>Cross-sectional factor strategies</t>
  </si>
  <si>
    <t>AQ-09</t>
  </si>
  <si>
    <t>Event-driven</t>
  </si>
  <si>
    <t>Event-driven strategy research</t>
  </si>
  <si>
    <t>AQ-10</t>
  </si>
  <si>
    <t>Value/quality factors</t>
  </si>
  <si>
    <t>Fundamental factor research</t>
  </si>
  <si>
    <t>AQ-11</t>
  </si>
  <si>
    <t>Execution algorithms</t>
  </si>
  <si>
    <t>Systematic execution algorithms</t>
  </si>
  <si>
    <t>AQ-12</t>
  </si>
  <si>
    <t>Market-impact model</t>
  </si>
  <si>
    <t>Estimate market impact</t>
  </si>
  <si>
    <t>AQ-13</t>
  </si>
  <si>
    <t>Latency telemetry</t>
  </si>
  <si>
    <t>Measure execution latency</t>
  </si>
  <si>
    <t>AQ-14</t>
  </si>
  <si>
    <t>Event-driven OMS</t>
  </si>
  <si>
    <t>Event-driven order management</t>
  </si>
  <si>
    <t>AQ-15</t>
  </si>
  <si>
    <t>Event-driven backtester</t>
  </si>
  <si>
    <t>Event-driven simulation</t>
  </si>
  <si>
    <t>AQ-16</t>
  </si>
  <si>
    <t>Macro data</t>
  </si>
  <si>
    <t>Integrate macroeconomic datasets</t>
  </si>
  <si>
    <t>AQ-17</t>
  </si>
  <si>
    <t>Alternative data</t>
  </si>
  <si>
    <t>Alternative data research</t>
  </si>
  <si>
    <t>AQ-18</t>
  </si>
  <si>
    <t>Point-in-time data lake</t>
  </si>
  <si>
    <t>Avoid historical data leakage</t>
  </si>
  <si>
    <t>AQ-19</t>
  </si>
  <si>
    <t>Multi-asset data</t>
  </si>
  <si>
    <t>Extend data model across asset classes</t>
  </si>
  <si>
    <t>Enterprise</t>
  </si>
  <si>
    <t>ENT-01</t>
  </si>
  <si>
    <t>Multi-tenant architecture</t>
  </si>
  <si>
    <t>Tenant isolation and architecture</t>
  </si>
  <si>
    <t>SEC-02</t>
  </si>
  <si>
    <t>Users/RBAC/MFA</t>
  </si>
  <si>
    <t>Role-based access and authentication</t>
  </si>
  <si>
    <t>ENT-02</t>
  </si>
  <si>
    <t>User registration</t>
  </si>
  <si>
    <t>User onboarding</t>
  </si>
  <si>
    <t>ENT-03</t>
  </si>
  <si>
    <t>User/risk profile</t>
  </si>
  <si>
    <t>Profile and risk preferences</t>
  </si>
  <si>
    <t>ENT-06</t>
  </si>
  <si>
    <t>Broker credential vault</t>
  </si>
  <si>
    <t>Secure broker credentials</t>
  </si>
  <si>
    <t>ENT-14</t>
  </si>
  <si>
    <t>Regulatory approvals</t>
  </si>
  <si>
    <t>Approval workflow where applicable</t>
  </si>
  <si>
    <t>ENT-08</t>
  </si>
  <si>
    <t>Multi-user web app</t>
  </si>
  <si>
    <t>Multi-user application</t>
  </si>
  <si>
    <t>API</t>
  </si>
  <si>
    <t>API-03</t>
  </si>
  <si>
    <t>Versioned public API</t>
  </si>
  <si>
    <t>Stable versioned API</t>
  </si>
  <si>
    <t>ENT-19</t>
  </si>
  <si>
    <t>Watchlists</t>
  </si>
  <si>
    <t>User watchlists</t>
  </si>
  <si>
    <t>ENT-11</t>
  </si>
  <si>
    <t>User alerts</t>
  </si>
  <si>
    <t>User-specific alerts</t>
  </si>
  <si>
    <t>ENT-10</t>
  </si>
  <si>
    <t>Notification channels</t>
  </si>
  <si>
    <t>Email/SMS/push or supported channels</t>
  </si>
  <si>
    <t>ENT-04</t>
  </si>
  <si>
    <t>Subscriptions/billing</t>
  </si>
  <si>
    <t>Commercial subscription layer</t>
  </si>
  <si>
    <t>ENT-13</t>
  </si>
  <si>
    <t>Administration console</t>
  </si>
  <si>
    <t>Admin control plane</t>
  </si>
  <si>
    <t>PF-12</t>
  </si>
  <si>
    <t>Multi-broker import</t>
  </si>
  <si>
    <t>Normalize portfolios across brokers</t>
  </si>
  <si>
    <t>BR-07</t>
  </si>
  <si>
    <t>Additional brokers</t>
  </si>
  <si>
    <t>Broker abstraction and additional integrations</t>
  </si>
  <si>
    <t>Production</t>
  </si>
  <si>
    <t>OPS-01</t>
  </si>
  <si>
    <t>Encryption</t>
  </si>
  <si>
    <t>Encryption and secrets management</t>
  </si>
  <si>
    <t>OPS-02</t>
  </si>
  <si>
    <t>Backup/restore</t>
  </si>
  <si>
    <t>Backup and recovery</t>
  </si>
  <si>
    <t>API-01</t>
  </si>
  <si>
    <t>API contracts</t>
  </si>
  <si>
    <t>Documented stable contracts</t>
  </si>
  <si>
    <t>OPS-05</t>
  </si>
  <si>
    <t>Observability</t>
  </si>
  <si>
    <t>Metrics/logging/tracing</t>
  </si>
  <si>
    <t>OPS-06</t>
  </si>
  <si>
    <t>Disaster recovery</t>
  </si>
  <si>
    <t>Recovery procedures</t>
  </si>
  <si>
    <t>DOC-01</t>
  </si>
  <si>
    <t>Operational documentation</t>
  </si>
  <si>
    <t>Runbooks and operational docs</t>
  </si>
  <si>
    <t>OPS-04</t>
  </si>
  <si>
    <t>Cloud deployment</t>
  </si>
  <si>
    <t>Final cloud/Claude deployment</t>
  </si>
  <si>
    <t>Role</t>
  </si>
  <si>
    <t>Primary Responsibilities</t>
  </si>
  <si>
    <t>Implementation Window</t>
  </si>
  <si>
    <t>Architecture Principle</t>
  </si>
  <si>
    <t>Super Admin</t>
  </si>
  <si>
    <t>Global configuration, users, security, broker integrations, system controls</t>
  </si>
  <si>
    <t>W7-W8</t>
  </si>
  <si>
    <t>Do not embed admin logic in trading engine</t>
  </si>
  <si>
    <t>Researcher / Quant</t>
  </si>
  <si>
    <t>Factors, experiments, datasets, strategy research, backtests, model research</t>
  </si>
  <si>
    <t>W3-W6</t>
  </si>
  <si>
    <t>Core research workflow should remain reusable</t>
  </si>
  <si>
    <t>Strategy Manager</t>
  </si>
  <si>
    <t>Strategy lifecycle, parameters, approvals, deployment state</t>
  </si>
  <si>
    <t>W3-W7</t>
  </si>
  <si>
    <t>Separate strategy lifecycle from execution</t>
  </si>
  <si>
    <t>Risk Manager</t>
  </si>
  <si>
    <t>Risk limits, exposure, drawdown, VaR, emergency controls</t>
  </si>
  <si>
    <t>W4-W7</t>
  </si>
  <si>
    <t>Risk controls should be independent of UI roles</t>
  </si>
  <si>
    <t>Trader / Execution Operator</t>
  </si>
  <si>
    <t>Signals, orders, positions, execution and reconciliation</t>
  </si>
  <si>
    <t>No direct bypass of risk controls</t>
  </si>
  <si>
    <t>Portfolio Manager</t>
  </si>
  <si>
    <t>Allocation, portfolio analytics, rebalancing and performance</t>
  </si>
  <si>
    <t>W1-W7</t>
  </si>
  <si>
    <t>Portfolio state must be authoritative</t>
  </si>
  <si>
    <t>Viewer / Investor</t>
  </si>
  <si>
    <t>Read-only dashboards, reports and portfolio views</t>
  </si>
  <si>
    <t>No execution authority</t>
  </si>
  <si>
    <t>No</t>
  </si>
  <si>
    <t>Observation</t>
  </si>
  <si>
    <t>Action / Rationale</t>
  </si>
  <si>
    <t>Target Wave</t>
  </si>
  <si>
    <t>1</t>
  </si>
  <si>
    <t>Do not disturb completed baseline</t>
  </si>
  <si>
    <t>58 baseline items are already completed; preserve them and build around them.</t>
  </si>
  <si>
    <t>All</t>
  </si>
  <si>
    <t>2</t>
  </si>
  <si>
    <t>Finish core foundation first</t>
  </si>
  <si>
    <t>Data quality, portfolio state, monitoring, timestamps and foundational risk are prerequisites.</t>
  </si>
  <si>
    <t>3</t>
  </si>
  <si>
    <t>Backtesting before advanced AI</t>
  </si>
  <si>
    <t>Reliable cost/slippage/bias/out-of-sample/walk-forward analysis is needed before trusting new strategies.</t>
  </si>
  <si>
    <t>4</t>
  </si>
  <si>
    <t>Build reusable strategy framework</t>
  </si>
  <si>
    <t>Create registry, parameters, lifecycle, multi-factor and regime-aware strategy capabilities.</t>
  </si>
  <si>
    <t>5</t>
  </si>
  <si>
    <t>Risk before expanded execution</t>
  </si>
  <si>
    <t>Emergency exit, loss/drawdown limits, reconciliation and execution monitoring should precede broader execution.</t>
  </si>
  <si>
    <t>6</t>
  </si>
  <si>
    <t>AI/ML after research foundation</t>
  </si>
  <si>
    <t>Use validated labels, model validation, registry, feature selection and monitoring before advanced models.</t>
  </si>
  <si>
    <t>7</t>
  </si>
  <si>
    <t>Advanced quant later</t>
  </si>
  <si>
    <t>Tick/order-book, stat-arb, alternative data and advanced execution depend on data and research infrastructure.</t>
  </si>
  <si>
    <t>8</t>
  </si>
  <si>
    <t>Design multi-role early; implement later</t>
  </si>
  <si>
    <t>Define role boundaries and RBAC architecture without embedding user logic in the core trading engine.</t>
  </si>
  <si>
    <t>9</t>
  </si>
  <si>
    <t>Production hardening before deployment</t>
  </si>
  <si>
    <t>Security, backup, observability, DR and documentation must be complete before public deployment.</t>
  </si>
  <si>
    <t>10</t>
  </si>
  <si>
    <t>Claude/cloud deployment last</t>
  </si>
  <si>
    <t>Deployment should be the final integration step after functional and operational readiness.</t>
  </si>
  <si>
    <t>Layer</t>
  </si>
  <si>
    <t>Component</t>
  </si>
  <si>
    <t>Market, broker, news, macro and alternative data</t>
  </si>
  <si>
    <t>Data Normalization</t>
  </si>
  <si>
    <t>Quality, timestamps, point-in-time handling and normalization</t>
  </si>
  <si>
    <t>Feature Engineering</t>
  </si>
  <si>
    <t>Technical indicators, factors and derived features</t>
  </si>
  <si>
    <t>Technical Indicators</t>
  </si>
  <si>
    <t>RSI, MACD, EMA, SMA, ATR, ADX, VWAP, etc.</t>
  </si>
  <si>
    <t>Quant Factors</t>
  </si>
  <si>
    <t>Alpha/factor research and scoring</t>
  </si>
  <si>
    <t>Validated models, ensembles and regime detection</t>
  </si>
  <si>
    <t>Signal Engine</t>
  </si>
  <si>
    <t>Standardized signals and decisions</t>
  </si>
  <si>
    <t>Reusable, parameterized and lifecycle-managed strategies</t>
  </si>
  <si>
    <t>Portfolio Construction</t>
  </si>
  <si>
    <t>Allocation, diversification and optimization</t>
  </si>
  <si>
    <t>Risk Engine</t>
  </si>
  <si>
    <t>Limits, sizing, drawdown, VaR/ES and emergency controls</t>
  </si>
  <si>
    <t>11</t>
  </si>
  <si>
    <t>Execution Engine</t>
  </si>
  <si>
    <t>Orders, slippage, reconciliation and execution analytics</t>
  </si>
  <si>
    <t>12</t>
  </si>
  <si>
    <t>Dhan/Zerodha/additional brokers via abstraction</t>
  </si>
  <si>
    <t>13</t>
  </si>
  <si>
    <t>P&amp;L, strategy health, model health, alerts and audit</t>
  </si>
  <si>
    <t>14</t>
  </si>
  <si>
    <t>Role/API Layer</t>
  </si>
  <si>
    <t>RBAC, user profiles, APIs and role-specific workflows</t>
  </si>
  <si>
    <t>15</t>
  </si>
  <si>
    <t>Production/cloud/Claude environment</t>
  </si>
  <si>
    <t>Unnamed: 0</t>
  </si>
  <si>
    <t>Unnamed: 1</t>
  </si>
  <si>
    <t>Unnamed: 2</t>
  </si>
  <si>
    <t>Unnamed: 3</t>
  </si>
  <si>
    <t>Unnamed: 4</t>
  </si>
  <si>
    <t>Unnamed: 5</t>
  </si>
  <si>
    <t>Sum of Phase</t>
  </si>
  <si>
    <t>Column Labels</t>
  </si>
  <si>
    <t>Row Labels</t>
  </si>
  <si>
    <t>COMPLETED</t>
  </si>
  <si>
    <t>IN PROGRESS</t>
  </si>
  <si>
    <t>UNCLEAR</t>
  </si>
  <si>
    <t>YET TO START</t>
  </si>
  <si>
    <t>Grand Total</t>
  </si>
  <si>
    <t>Delivered baseline (maintain)</t>
  </si>
  <si>
    <t>Enterprise SaaS (final objective)</t>
  </si>
  <si>
    <t>Broker Integration</t>
  </si>
  <si>
    <t>Alpha/Factor Engine</t>
  </si>
  <si>
    <t>Data Platform</t>
  </si>
  <si>
    <t>Deployment/Ops</t>
  </si>
  <si>
    <t>News/Sentiment</t>
  </si>
  <si>
    <t>Risk Management</t>
  </si>
  <si>
    <t>Quant Research (data, factors, backtesting)</t>
  </si>
  <si>
    <t>Quant Research</t>
  </si>
  <si>
    <t>Technical Analysis</t>
  </si>
  <si>
    <t>Risk &amp; Portfolio</t>
  </si>
  <si>
    <t>Dashboard</t>
  </si>
  <si>
    <t>Alternative Data</t>
  </si>
  <si>
    <t>APIs</t>
  </si>
  <si>
    <t>Seq</t>
  </si>
  <si>
    <t>Phase</t>
  </si>
  <si>
    <t>Phase Name</t>
  </si>
  <si>
    <t>Module</t>
  </si>
  <si>
    <t>Target Requirement</t>
  </si>
  <si>
    <t>Scope Source</t>
  </si>
  <si>
    <t>Status</t>
  </si>
  <si>
    <t>Completion %</t>
  </si>
  <si>
    <t>Depends On</t>
  </si>
  <si>
    <t>Current Implementation</t>
  </si>
  <si>
    <t>Next Action / Missing Work</t>
  </si>
  <si>
    <t>Key Files</t>
  </si>
  <si>
    <t>Evidence</t>
  </si>
  <si>
    <t>Owner</t>
  </si>
  <si>
    <t>Target Date</t>
  </si>
  <si>
    <t>Started On</t>
  </si>
  <si>
    <t>Completed On</t>
  </si>
  <si>
    <t>Last Updated</t>
  </si>
  <si>
    <t>Notes</t>
  </si>
  <si>
    <t>DP-02</t>
  </si>
  <si>
    <t>Daily OHLCV history</t>
  </si>
  <si>
    <t>Clean daily bars for universe</t>
  </si>
  <si>
    <t>Agreed-Spec</t>
  </si>
  <si>
    <t>NSE Bhavcopy + Dhan; coverage/freshness/duplicate guards</t>
  </si>
  <si>
    <t>Maintain</t>
  </si>
  <si>
    <t>data/bhavcopy.py; data/dhan.py</t>
  </si>
  <si>
    <t>prices_daily ~234k rows / 426 sessions</t>
  </si>
  <si>
    <t>DP-07</t>
  </si>
  <si>
    <t>Delivery data</t>
  </si>
  <si>
    <t>Delivery qty and %</t>
  </si>
  <si>
    <t>Code-Derived</t>
  </si>
  <si>
    <t>Full Bhavcopy nightly + backfill</t>
  </si>
  <si>
    <t>data/bhavcopy.py</t>
  </si>
  <si>
    <t>223,854 rows</t>
  </si>
  <si>
    <t>DP-20</t>
  </si>
  <si>
    <t>Trading calendar</t>
  </si>
  <si>
    <t>NSE holidays/special sessions</t>
  </si>
  <si>
    <t>2025-26 holidays + budget sessions</t>
  </si>
  <si>
    <t>Add next year's holidays each December</t>
  </si>
  <si>
    <t>utils/trading_calendar.py</t>
  </si>
  <si>
    <t>TA-01</t>
  </si>
  <si>
    <t>Core indicators</t>
  </si>
  <si>
    <t>RSI; MACD; EMA; SMA; ATR; ADX; Bollinger</t>
  </si>
  <si>
    <t>Computed and stored; MACD fixed and normalised</t>
  </si>
  <si>
    <t>data/technical.py</t>
  </si>
  <si>
    <t>a7d92a7; bbd0540</t>
  </si>
  <si>
    <t>TA-02</t>
  </si>
  <si>
    <t>Extended oscillators</t>
  </si>
  <si>
    <t>Stoch; Williams %R; CCI; OBV; relative volume</t>
  </si>
  <si>
    <t>Computed and stored</t>
  </si>
  <si>
    <t>technical.py:47-54</t>
  </si>
  <si>
    <t>TA-05</t>
  </si>
  <si>
    <t>Fibonacci</t>
  </si>
  <si>
    <t>Retracement levels</t>
  </si>
  <si>
    <t>52-week 23.6/38.2/50/61.8 levels</t>
  </si>
  <si>
    <t>Optional: swing-anchored levels</t>
  </si>
  <si>
    <t>technical.py:262-268</t>
  </si>
  <si>
    <t>TA-07</t>
  </si>
  <si>
    <t>Trend features</t>
  </si>
  <si>
    <t>Crosses; 200DMA; gap %</t>
  </si>
  <si>
    <t>technical.py:291</t>
  </si>
  <si>
    <t>TA-08</t>
  </si>
  <si>
    <t>Relative strength</t>
  </si>
  <si>
    <t>RS vs NIFTY</t>
  </si>
  <si>
    <t>20-day RS with date-matched benchmark</t>
  </si>
  <si>
    <t>Sector-relative RS later (TA-08b in Phase 2 if wanted)</t>
  </si>
  <si>
    <t>scores/engine.py</t>
  </si>
  <si>
    <t>8dd04fb</t>
  </si>
  <si>
    <t>SC-03</t>
  </si>
  <si>
    <t>RRI</t>
  </si>
  <si>
    <t>Recovery &amp; Rebound Index per QRH</t>
  </si>
  <si>
    <t>Implemented</t>
  </si>
  <si>
    <t>Institutional input improves with SC-14</t>
  </si>
  <si>
    <t>engine.py:260</t>
  </si>
  <si>
    <t>SC-04</t>
  </si>
  <si>
    <t>MRI</t>
  </si>
  <si>
    <t>Momentum Reversal Index per QRH</t>
  </si>
  <si>
    <t>Implemented; MACD corrected</t>
  </si>
  <si>
    <t>engine.py:241</t>
  </si>
  <si>
    <t>SC-07</t>
  </si>
  <si>
    <t>ZPI</t>
  </si>
  <si>
    <t>Zone Probability Index per QRH</t>
  </si>
  <si>
    <t>Implemented + delivery component</t>
  </si>
  <si>
    <t>969f570</t>
  </si>
  <si>
    <t>SC-10</t>
  </si>
  <si>
    <t>Portfolio Health score</t>
  </si>
  <si>
    <t>PHS formula</t>
  </si>
  <si>
    <t>Correlation/drawdown inputs come with PF-09 and PF-13</t>
  </si>
  <si>
    <t>scores/portfolio_health.py</t>
  </si>
  <si>
    <t>portfolio_health.py</t>
  </si>
  <si>
    <t>PF-05</t>
  </si>
  <si>
    <t>Portfolio health</t>
  </si>
  <si>
    <t>Portfolio Health score + panel</t>
  </si>
  <si>
    <t>Implemented + dashboard</t>
  </si>
  <si>
    <t>SC-11</t>
  </si>
  <si>
    <t>Trade of the Day</t>
  </si>
  <si>
    <t>TOD formula</t>
  </si>
  <si>
    <t>Implemented; one TOD per session</t>
  </si>
  <si>
    <t>d74e595</t>
  </si>
  <si>
    <t>SC-15</t>
  </si>
  <si>
    <t>Overall ATIP score + rank</t>
  </si>
  <si>
    <t>Master ranking</t>
  </si>
  <si>
    <t>Implemented; rank stored</t>
  </si>
  <si>
    <t>engine.py:508</t>
  </si>
  <si>
    <t>SC-17</t>
  </si>
  <si>
    <t>Configurable weights</t>
  </si>
  <si>
    <t>Weights in configuration</t>
  </si>
  <si>
    <t>weight_config table</t>
  </si>
  <si>
    <t>Regime-specific rows used by ML-05</t>
  </si>
  <si>
    <t>db/schema.py</t>
  </si>
  <si>
    <t>seed_weights</t>
  </si>
  <si>
    <t>SG-02</t>
  </si>
  <si>
    <t>Signal validation</t>
  </si>
  <si>
    <t>Data gates before signals</t>
  </si>
  <si>
    <t>EOD coverage guard; FII/DII hold</t>
  </si>
  <si>
    <t>pipeline/scheduler.py</t>
  </si>
  <si>
    <t>a4a508b; 969f570</t>
  </si>
  <si>
    <t>SG-03</t>
  </si>
  <si>
    <t>Signal ranking</t>
  </si>
  <si>
    <t>Top-25 lists</t>
  </si>
  <si>
    <t>dashboard lists</t>
  </si>
  <si>
    <t>SG-05</t>
  </si>
  <si>
    <t>Trade plan</t>
  </si>
  <si>
    <t>Entry/stop/targets/R:R/horizon</t>
  </si>
  <si>
    <t>scores/predictions.py</t>
  </si>
  <si>
    <t>predictions.py</t>
  </si>
  <si>
    <t>SG-06</t>
  </si>
  <si>
    <t>Outcome tracking</t>
  </si>
  <si>
    <t>Hit rate and P&amp;L per signal</t>
  </si>
  <si>
    <t>Implemented; corrected denominator</t>
  </si>
  <si>
    <t>scores/signal_log.py</t>
  </si>
  <si>
    <t>cc8ce46</t>
  </si>
  <si>
    <t>SG-07</t>
  </si>
  <si>
    <t>Signal provenance log</t>
  </si>
  <si>
    <t>Immutable signal log</t>
  </si>
  <si>
    <t>Append-only signal_log</t>
  </si>
  <si>
    <t>signal_log.py</t>
  </si>
  <si>
    <t>BT-01</t>
  </si>
  <si>
    <t>Historical backtest</t>
  </si>
  <si>
    <t>Bar-level backtest</t>
  </si>
  <si>
    <t>3 bar engines</t>
  </si>
  <si>
    <t>Extended by Phase 2 items</t>
  </si>
  <si>
    <t>scores/backtest.py; strategy/backtest_*.py</t>
  </si>
  <si>
    <t>—</t>
  </si>
  <si>
    <t>BT-10</t>
  </si>
  <si>
    <t>Win rate / profit factor / expectancy</t>
  </si>
  <si>
    <t>Trade metrics</t>
  </si>
  <si>
    <t>strategy/backtest_aggressive.py</t>
  </si>
  <si>
    <t>metrics()</t>
  </si>
  <si>
    <t>RK-02</t>
  </si>
  <si>
    <t>Max order value</t>
  </si>
  <si>
    <t>Pre-trade limit</t>
  </si>
  <si>
    <t>Quant-Research</t>
  </si>
  <si>
    <t>Enforced when configured</t>
  </si>
  <si>
    <t>Set values in config.json</t>
  </si>
  <si>
    <t>orders/risk.py</t>
  </si>
  <si>
    <t>71bff1b</t>
  </si>
  <si>
    <t>RK-03</t>
  </si>
  <si>
    <t>Max orders per day</t>
  </si>
  <si>
    <t>RK-04</t>
  </si>
  <si>
    <t>Max open positions</t>
  </si>
  <si>
    <t>Position limit</t>
  </si>
  <si>
    <t>RK-05</t>
  </si>
  <si>
    <t>Symbol exposure limit</t>
  </si>
  <si>
    <t>Concentration limit</t>
  </si>
  <si>
    <t>RK-14</t>
  </si>
  <si>
    <t>Crash-risk gating</t>
  </si>
  <si>
    <t>CRI gate</t>
  </si>
  <si>
    <t>SELL_CRI_DANGER + strategy use</t>
  </si>
  <si>
    <t>EX-03</t>
  </si>
  <si>
    <t>Position management</t>
  </si>
  <si>
    <t>Persistent idempotent positions</t>
  </si>
  <si>
    <t>reserve -&gt; place -&gt; apply</t>
  </si>
  <si>
    <t>strategy/positions.py</t>
  </si>
  <si>
    <t>EX-04</t>
  </si>
  <si>
    <t>Entry/exit</t>
  </si>
  <si>
    <t>Automated entry and exit</t>
  </si>
  <si>
    <t>strategy/live.py</t>
  </si>
  <si>
    <t>EX-05</t>
  </si>
  <si>
    <t>Stop loss</t>
  </si>
  <si>
    <t>Hard/ATR stops</t>
  </si>
  <si>
    <t>strategy/aggressive.py</t>
  </si>
  <si>
    <t>EX-06</t>
  </si>
  <si>
    <t>Trailing stop</t>
  </si>
  <si>
    <t>ATR trailing stop</t>
  </si>
  <si>
    <t>Implemented (4.0x ATR)</t>
  </si>
  <si>
    <t>aggressive.py:57-66</t>
  </si>
  <si>
    <t>EX-07</t>
  </si>
  <si>
    <t>Profit booking / partial exit</t>
  </si>
  <si>
    <t>Checkpoints and partial exits</t>
  </si>
  <si>
    <t>Implemented in aggressive strategy</t>
  </si>
  <si>
    <t>EX-13</t>
  </si>
  <si>
    <t>Paper trading</t>
  </si>
  <si>
    <t>Virtual trading (FR-PT)</t>
  </si>
  <si>
    <t>Paper broker with slippage</t>
  </si>
  <si>
    <t>orders/paper.py</t>
  </si>
  <si>
    <t>tests/test_paper_broker.py</t>
  </si>
  <si>
    <t>EX-14</t>
  </si>
  <si>
    <t>Live gating</t>
  </si>
  <si>
    <t>PAPER default; explicit confirm</t>
  </si>
  <si>
    <t>orders/environment.py</t>
  </si>
  <si>
    <t>environment.py:37-57</t>
  </si>
  <si>
    <t>BR-01</t>
  </si>
  <si>
    <t>Dhan</t>
  </si>
  <si>
    <t>Data + orders</t>
  </si>
  <si>
    <t>dhanhq integration</t>
  </si>
  <si>
    <t>data/dhan.py; orders/broker.py</t>
  </si>
  <si>
    <t>BR-03</t>
  </si>
  <si>
    <t>Broker abstraction</t>
  </si>
  <si>
    <t>Routed execution clients</t>
  </si>
  <si>
    <t>PAPER/SANDBOX/LIVE routing</t>
  </si>
  <si>
    <t>Becomes multi-broker interface in ENT-15</t>
  </si>
  <si>
    <t>DB-01</t>
  </si>
  <si>
    <t>Market Health panel</t>
  </si>
  <si>
    <t>Dashboard section</t>
  </si>
  <si>
    <t>Rendered</t>
  </si>
  <si>
    <t>dashboard/server.py</t>
  </si>
  <si>
    <t>DB-02</t>
  </si>
  <si>
    <t>Global Markets panel</t>
  </si>
  <si>
    <t>Rendered; snapshot bug fixed</t>
  </si>
  <si>
    <t>db7f506</t>
  </si>
  <si>
    <t>DB-03</t>
  </si>
  <si>
    <t>FII/DII panel</t>
  </si>
  <si>
    <t>DB-05</t>
  </si>
  <si>
    <t>Sector Rotation</t>
  </si>
  <si>
    <t>Heatmap rendered</t>
  </si>
  <si>
    <t>server.py:489</t>
  </si>
  <si>
    <t>DB-07</t>
  </si>
  <si>
    <t>Top 25 VPI</t>
  </si>
  <si>
    <t>/api/scores</t>
  </si>
  <si>
    <t>DB-08</t>
  </si>
  <si>
    <t>Buy Zone (ZPI)</t>
  </si>
  <si>
    <t>DB-09</t>
  </si>
  <si>
    <t>Recovery (RRI)</t>
  </si>
  <si>
    <t>DB-10</t>
  </si>
  <si>
    <t>Momentum Reversal (MRI)</t>
  </si>
  <si>
    <t>DB-12</t>
  </si>
  <si>
    <t>Portfolio Health panel</t>
  </si>
  <si>
    <t>/api/portfolio</t>
  </si>
  <si>
    <t>DB-13</t>
  </si>
  <si>
    <t>/api/tod</t>
  </si>
  <si>
    <t>DB-15</t>
  </si>
  <si>
    <t>Orders/signals panel</t>
  </si>
  <si>
    <t>Orders tab</t>
  </si>
  <si>
    <t>Rendered with PAPER status</t>
  </si>
  <si>
    <t>/api/orders</t>
  </si>
  <si>
    <t>DB-19</t>
  </si>
  <si>
    <t>Hosted read-only snapshot</t>
  </si>
  <si>
    <t>bkesari viewer</t>
  </si>
  <si>
    <t>publish_snapshot.py</t>
  </si>
  <si>
    <t>Superseded by ENT-08 web app</t>
  </si>
  <si>
    <t>Internal REST</t>
  </si>
  <si>
    <t>Dashboard API</t>
  </si>
  <si>
    <t>15 FastAPI routes</t>
  </si>
  <si>
    <t>API-02</t>
  </si>
  <si>
    <t>Local API authentication</t>
  </si>
  <si>
    <t>Auth on mutating routes</t>
  </si>
  <si>
    <t>127.0.0.1 bind + X-ATIP-Token</t>
  </si>
  <si>
    <t>Replaced by per-user auth in SEC-02</t>
  </si>
  <si>
    <t>dashboard/security.py</t>
  </si>
  <si>
    <t>7191c71</t>
  </si>
  <si>
    <t>DBS-01</t>
  </si>
  <si>
    <t>Schema</t>
  </si>
  <si>
    <t>Operational schema</t>
  </si>
  <si>
    <t>19 SQLite tables</t>
  </si>
  <si>
    <t>Migrations via DBS-04</t>
  </si>
  <si>
    <t>DBS-02</t>
  </si>
  <si>
    <t>Retention/purge</t>
  </si>
  <si>
    <t>Data retention</t>
  </si>
  <si>
    <t>db/purge.py</t>
  </si>
  <si>
    <t>SEC-01</t>
  </si>
  <si>
    <t>Credential handling</t>
  </si>
  <si>
    <t>Secrets outside code</t>
  </si>
  <si>
    <t>config.json outside repo</t>
  </si>
  <si>
    <t>Vault in ENT-06</t>
  </si>
  <si>
    <t>atip_data/config.json</t>
  </si>
  <si>
    <t>MON-07</t>
  </si>
  <si>
    <t>Feed health</t>
  </si>
  <si>
    <t>WebSocket stall detection</t>
  </si>
  <si>
    <t>data/dhan_ws.py</t>
  </si>
  <si>
    <t>b303d7a</t>
  </si>
  <si>
    <t>MON-08</t>
  </si>
  <si>
    <t>Diagnostics</t>
  </si>
  <si>
    <t>Diagnostic tool</t>
  </si>
  <si>
    <t>diagnose.py</t>
  </si>
  <si>
    <t>Autostart/scheduling</t>
  </si>
  <si>
    <t>Windows autostart</t>
  </si>
  <si>
    <t>Task Scheduler + VBS</t>
  </si>
  <si>
    <t>Replaced by cloud deploy in OPS-04</t>
  </si>
  <si>
    <t>start_atip.bat; ATIP_TaskScheduler.xml</t>
  </si>
  <si>
    <t>OPS-07</t>
  </si>
  <si>
    <t>Snapshot publishing</t>
  </si>
  <si>
    <t>Hosted read-only view</t>
  </si>
  <si>
    <t>DP-09</t>
  </si>
  <si>
    <t>India VIX</t>
  </si>
  <si>
    <t>Real VIX series as MH/MSI/CRI input</t>
  </si>
  <si>
    <t>Read from index snapshot with 15.0 fallback</t>
  </si>
  <si>
    <t>Store daily VIX; remove silent default; flag missing</t>
  </si>
  <si>
    <t>scores/engine.py; data/markets.py</t>
  </si>
  <si>
    <t>engine.py:358</t>
  </si>
  <si>
    <t>DP-17</t>
  </si>
  <si>
    <t>Market breadth</t>
  </si>
  <si>
    <t>Advance/decline; new highs/lows</t>
  </si>
  <si>
    <t>Breadth input frozen (25.93)</t>
  </si>
  <si>
    <t>Compute A/D and 52w highs/lows from prices_daily</t>
  </si>
  <si>
    <t>Phase status Tier 3</t>
  </si>
  <si>
    <t>SC-09</t>
  </si>
  <si>
    <t>Market Health score</t>
  </si>
  <si>
    <t>MH formula + regime label</t>
  </si>
  <si>
    <t>DP-09; DP-17</t>
  </si>
  <si>
    <t>Implemented; breadth/VIX inputs frozen</t>
  </si>
  <si>
    <t>Use real inputs; backfill market_health history</t>
  </si>
  <si>
    <t>engine.py:354</t>
  </si>
  <si>
    <t>SC-08</t>
  </si>
  <si>
    <t>ACS</t>
  </si>
  <si>
    <t>AI Confidence Score</t>
  </si>
  <si>
    <t>Implemented; accuracy query leak; NewsConfidence frozen</t>
  </si>
  <si>
    <t>Bound feedback query by date; real news confidence</t>
  </si>
  <si>
    <t>engine.py:389</t>
  </si>
  <si>
    <t>Accurate pipeline_log</t>
  </si>
  <si>
    <t>Swallows exceptions; no end time; SUCCESS with 0 rows</t>
  </si>
  <si>
    <t>Record failures, end time, row counts</t>
  </si>
  <si>
    <t>Phase status Tier 2</t>
  </si>
  <si>
    <t>Heartbeat per job</t>
  </si>
  <si>
    <t>Expected-run table + missed-run check</t>
  </si>
  <si>
    <t>news job silent 11 days</t>
  </si>
  <si>
    <t>Alerts on failure</t>
  </si>
  <si>
    <t>Telegram path exists; unconfigured</t>
  </si>
  <si>
    <t>Configure Telegram; alert on failure/stall</t>
  </si>
  <si>
    <t>alerts/telegram.py</t>
  </si>
  <si>
    <t>run_job</t>
  </si>
  <si>
    <t>DB-14</t>
  </si>
  <si>
    <t>Alerts / morning brief</t>
  </si>
  <si>
    <t>Telegram + 08:30 digest</t>
  </si>
  <si>
    <t>Digest scheduled; channel unconfigured</t>
  </si>
  <si>
    <t>Deliver digest; verify daily</t>
  </si>
  <si>
    <t>scheduler.py:1032</t>
  </si>
  <si>
    <t>RK-15</t>
  </si>
  <si>
    <t>Risk alerts</t>
  </si>
  <si>
    <t>Alerts on risk events</t>
  </si>
  <si>
    <t>CRI alerts coded; channel unconfigured</t>
  </si>
  <si>
    <t>Alert on halt, limit breach, CRI spike</t>
  </si>
  <si>
    <t>MON-06</t>
  </si>
  <si>
    <t>Log rotation</t>
  </si>
  <si>
    <t>Rotating logs</t>
  </si>
  <si>
    <t>RotatingFileHandler</t>
  </si>
  <si>
    <t>main.py</t>
  </si>
  <si>
    <t>One timezone convention</t>
  </si>
  <si>
    <t>IST and UTC mixed in same rows</t>
  </si>
  <si>
    <t>Normalise; fix news recency</t>
  </si>
  <si>
    <t>db/schema.py; data/news.py</t>
  </si>
  <si>
    <t>Reliable daily news feed</t>
  </si>
  <si>
    <t>~1,249 rows; job stalled as of 09-21</t>
  </si>
  <si>
    <t>Fix job; add second source; health check</t>
  </si>
  <si>
    <t>data/news.py</t>
  </si>
  <si>
    <t>Install/setup</t>
  </si>
  <si>
    <t>Reproducible install</t>
  </si>
  <si>
    <t>setup.py lists pandas-ta; omits ta</t>
  </si>
  <si>
    <t>Fix requirements/setup; pin versions</t>
  </si>
  <si>
    <t>setup.py; requirements.txt</t>
  </si>
  <si>
    <t>EX-01</t>
  </si>
  <si>
    <t>Order management tests</t>
  </si>
  <si>
    <t>Tested order rule engine</t>
  </si>
  <si>
    <t>orders/rules.py (944 lines) without tests</t>
  </si>
  <si>
    <t>Unit tests for rules.py</t>
  </si>
  <si>
    <t>orders/rules.py; tests/</t>
  </si>
  <si>
    <t>Phase status Phase 11</t>
  </si>
  <si>
    <t>CI + end-to-end test</t>
  </si>
  <si>
    <t>Data-&gt;score-&gt;signal-&gt;order-&gt;P&amp;L test</t>
  </si>
  <si>
    <t>GitHub Actions; ~270 test functions; no E2E</t>
  </si>
  <si>
    <t>Add E2E pipeline test</t>
  </si>
  <si>
    <t>.github/workflows/tests.yml; tests/</t>
  </si>
  <si>
    <t>DP-15</t>
  </si>
  <si>
    <t>Fundamentals</t>
  </si>
  <si>
    <t>ROE; ROCE; EPS; PEG; FCF; D/E</t>
  </si>
  <si>
    <t>Screener.in fetcher; ingestion disabled</t>
  </si>
  <si>
    <t>Your decision; enable; quarterly store; no 50.0 default</t>
  </si>
  <si>
    <t>data/fundamentals.py; pipeline/scheduler.py</t>
  </si>
  <si>
    <t>FUNDAMENTALS_ENABLED=False</t>
  </si>
  <si>
    <t>FS formula per concept document</t>
  </si>
  <si>
    <t>Default 50 when unparsed</t>
  </si>
  <si>
    <t>Implement FS formula on real data</t>
  </si>
  <si>
    <t>data/fundamentals.py</t>
  </si>
  <si>
    <t>Stability Profit Index per QRH</t>
  </si>
  <si>
    <t>Implement SPI formula separately from FS</t>
  </si>
  <si>
    <t>engine.py:503</t>
  </si>
  <si>
    <t>SC-05</t>
  </si>
  <si>
    <t>CRI debt input</t>
  </si>
  <si>
    <t>CRI per QRH incl. Debt</t>
  </si>
  <si>
    <t>Implemented; Debt input missing</t>
  </si>
  <si>
    <t>Feed Debt/Equity</t>
  </si>
  <si>
    <t>engine.py:276</t>
  </si>
  <si>
    <t>SC-01</t>
  </si>
  <si>
    <t>VPI inputs</t>
  </si>
  <si>
    <t>VPI per QRH</t>
  </si>
  <si>
    <t>Implemented; FG/IS inputs weak</t>
  </si>
  <si>
    <t>Real Fundamental Growth input</t>
  </si>
  <si>
    <t>engine.py:222</t>
  </si>
  <si>
    <t>Zerodha/Dhan holdings sync</t>
  </si>
  <si>
    <t>Kite holdings sync; Dhan holdings</t>
  </si>
  <si>
    <t>Scheduled reliable sync + token handling</t>
  </si>
  <si>
    <t>portfolio/zerodha.py; data/dhan.py</t>
  </si>
  <si>
    <t>Portfolio sync schedule</t>
  </si>
  <si>
    <t>Real-time/daily sync (FR-BI-002)</t>
  </si>
  <si>
    <t>Partial</t>
  </si>
  <si>
    <t>Scheduled sync with alert on failure</t>
  </si>
  <si>
    <t>Holdings &amp; P&amp;L</t>
  </si>
  <si>
    <t>Holdings and P&amp;L</t>
  </si>
  <si>
    <t>portfolio_holdings with pnl</t>
  </si>
  <si>
    <t>Realised + unrealised P&amp;L</t>
  </si>
  <si>
    <t>portfolio/</t>
  </si>
  <si>
    <t>zerodha.py:64</t>
  </si>
  <si>
    <t>Daily P&amp;L series</t>
  </si>
  <si>
    <t>Stored daily P&amp;L (paper + live)</t>
  </si>
  <si>
    <t>None; realized_pnl cumulative only</t>
  </si>
  <si>
    <t>Daily P&amp;L table; EOD job</t>
  </si>
  <si>
    <t>orders/risk.py docstring</t>
  </si>
  <si>
    <t>Risk-based sizing wired to orders</t>
  </si>
  <si>
    <t>FR-RM-001 position size</t>
  </si>
  <si>
    <t>position_size_pct computed; not read</t>
  </si>
  <si>
    <t>Use size in order path</t>
  </si>
  <si>
    <t>scores/predictions.py; orders/rules.py</t>
  </si>
  <si>
    <t>predictions.py:84</t>
  </si>
  <si>
    <t>Circuit breaker</t>
  </si>
  <si>
    <t>Deliberately absent</t>
  </si>
  <si>
    <t>Limit on PF-13; auto-halt</t>
  </si>
  <si>
    <t>Drawdown halt</t>
  </si>
  <si>
    <t>Peak-to-trough on PF-13; auto-halt</t>
  </si>
  <si>
    <t>DBS-03</t>
  </si>
  <si>
    <t>Backups</t>
  </si>
  <si>
    <t>Automated backups</t>
  </si>
  <si>
    <t>Manual pre-repair backups</t>
  </si>
  <si>
    <t>Nightly integrity-checked backup + retention</t>
  </si>
  <si>
    <t>db/</t>
  </si>
  <si>
    <t>atip_data/*.bak</t>
  </si>
  <si>
    <t>DP-06</t>
  </si>
  <si>
    <t>Corporate actions open items</t>
  </si>
  <si>
    <t>Split/bonus/demerger adjustment</t>
  </si>
  <si>
    <t>NSE CA calendar; reconciliation; volume re-base</t>
  </si>
  <si>
    <t>TVSMOTOR scheme; renamed symbols</t>
  </si>
  <si>
    <t>data/corporate_actions.py</t>
  </si>
  <si>
    <t>4416ac7</t>
  </si>
  <si>
    <t>TA-06</t>
  </si>
  <si>
    <t>Support/Resistance</t>
  </si>
  <si>
    <t>S/R levels (ZPI/RRI inputs)</t>
  </si>
  <si>
    <t>Not verified statically</t>
  </si>
  <si>
    <t>Confirm what ZPI/RRI use; implement pivot-based S/R</t>
  </si>
  <si>
    <t>Data quality layer</t>
  </si>
  <si>
    <t>Validation + DataQualityScore</t>
  </si>
  <si>
    <t>Coverage/identical-bar/OHLC guards; no DQS</t>
  </si>
  <si>
    <t>DQS table; outlier and timestamp checks</t>
  </si>
  <si>
    <t>ba31981; 8526a9b</t>
  </si>
  <si>
    <t>DBS-04</t>
  </si>
  <si>
    <t>Schema migrations</t>
  </si>
  <si>
    <t>Versioned migrations</t>
  </si>
  <si>
    <t>CREATE IF NOT EXISTS only</t>
  </si>
  <si>
    <t>Migration mechanism before new tables</t>
  </si>
  <si>
    <t>DP-01</t>
  </si>
  <si>
    <t>Live market data</t>
  </si>
  <si>
    <t>Live quotes + index feed (FR-MD-001)</t>
  </si>
  <si>
    <t>Index WebSocket 09:00-15:45 + quote cache; stock tick feed never run</t>
  </si>
  <si>
    <t>Stock-level live feed in production; failover</t>
  </si>
  <si>
    <t>data/dhan_ws.py; data/dhan.py</t>
  </si>
  <si>
    <t>dhan_ws.py session window/backoff</t>
  </si>
  <si>
    <t>DP-03</t>
  </si>
  <si>
    <t>Intraday bars</t>
  </si>
  <si>
    <t>Stored 1/5/15-min bars</t>
  </si>
  <si>
    <t>Fetched every 30 min; nothing stored</t>
  </si>
  <si>
    <t>Persist bars; retention policy</t>
  </si>
  <si>
    <t>data/dhan.py; pipeline/scheduler.py</t>
  </si>
  <si>
    <t>TA-03</t>
  </si>
  <si>
    <t>VWAP</t>
  </si>
  <si>
    <t>VWAP (TS weight 0.08)</t>
  </si>
  <si>
    <t>Weight seeded; never computed</t>
  </si>
  <si>
    <t>Compute from intraday bars</t>
  </si>
  <si>
    <t>schema.py:322</t>
  </si>
  <si>
    <t>SC-12</t>
  </si>
  <si>
    <t>Technical Score VWAP input</t>
  </si>
  <si>
    <t>TS formula complete</t>
  </si>
  <si>
    <t>Implemented; VWAP weight dead</t>
  </si>
  <si>
    <t>Include VWAP</t>
  </si>
  <si>
    <t>technical.py:307</t>
  </si>
  <si>
    <t>TA-04</t>
  </si>
  <si>
    <t>Volume Profile</t>
  </si>
  <si>
    <t>Volume by price; POC</t>
  </si>
  <si>
    <t>Implement on intraday bars</t>
  </si>
  <si>
    <t>TA-10</t>
  </si>
  <si>
    <t>Multi-timeframe analysis</t>
  </si>
  <si>
    <t>Daily/weekly/intraday confluence</t>
  </si>
  <si>
    <t>Daily only</t>
  </si>
  <si>
    <t>Resample timeframes</t>
  </si>
  <si>
    <t>TA-12</t>
  </si>
  <si>
    <t>Full-history indicator panel</t>
  </si>
  <si>
    <t>Indicators for every history date</t>
  </si>
  <si>
    <t>~15 sessions deep</t>
  </si>
  <si>
    <t>Backfill 426 sessions</t>
  </si>
  <si>
    <t>Phase status Phase 3</t>
  </si>
  <si>
    <t>AF-03</t>
  </si>
  <si>
    <t>Factor panel persistence</t>
  </si>
  <si>
    <t>(date, symbol, factor, value)</t>
  </si>
  <si>
    <t>Composites stored; sub-components discarded</t>
  </si>
  <si>
    <t>Persist sub-factors</t>
  </si>
  <si>
    <t>AF-04</t>
  </si>
  <si>
    <t>Standalone factor families</t>
  </si>
  <si>
    <t>Momentum; MR; trend; vol; volume; liquidity</t>
  </si>
  <si>
    <t>Embedded inside composites</t>
  </si>
  <si>
    <t>Extract as standalone factors</t>
  </si>
  <si>
    <t>AF-02</t>
  </si>
  <si>
    <t>Normalisation contract</t>
  </si>
  <si>
    <t>z-score; robust; winsorise; percentile</t>
  </si>
  <si>
    <t>Min-max only</t>
  </si>
  <si>
    <t>Per-factor normalisation config</t>
  </si>
  <si>
    <t>AF-01</t>
  </si>
  <si>
    <t>Factor library/registry</t>
  </si>
  <si>
    <t>ID; formula; lookback; version</t>
  </si>
  <si>
    <t>Registry table + API</t>
  </si>
  <si>
    <t>SC-18</t>
  </si>
  <si>
    <t>Formula registry/versioning</t>
  </si>
  <si>
    <t>Versioned score formulas</t>
  </si>
  <si>
    <t>model_version + weights_hash on signal_log</t>
  </si>
  <si>
    <t>Formula registry table</t>
  </si>
  <si>
    <t>signal_log.py:144</t>
  </si>
  <si>
    <t>DBS-07</t>
  </si>
  <si>
    <t>Research registry tables</t>
  </si>
  <si>
    <t>Factor/model/experiment tables</t>
  </si>
  <si>
    <t>Create schema</t>
  </si>
  <si>
    <t>QR-01</t>
  </si>
  <si>
    <t>Information coefficient</t>
  </si>
  <si>
    <t>Rank IC; ICIR; hit-rate of IC</t>
  </si>
  <si>
    <t>Ad hoc only</t>
  </si>
  <si>
    <t>IC engine vs forward returns</t>
  </si>
  <si>
    <t>QR-02</t>
  </si>
  <si>
    <t>IC decay / half-life</t>
  </si>
  <si>
    <t>Decay by horizon</t>
  </si>
  <si>
    <t>Implement</t>
  </si>
  <si>
    <t>QR-03</t>
  </si>
  <si>
    <t>Factor correlation/redundancy</t>
  </si>
  <si>
    <t>Correlation matrix</t>
  </si>
  <si>
    <t>QR-04</t>
  </si>
  <si>
    <t>Statistical toolkit</t>
  </si>
  <si>
    <t>Correlation; covariance; regression</t>
  </si>
  <si>
    <t>Univariate beta only</t>
  </si>
  <si>
    <t>Stats module</t>
  </si>
  <si>
    <t>technical.py:99</t>
  </si>
  <si>
    <t>AF-08</t>
  </si>
  <si>
    <t>Factor approval gate</t>
  </si>
  <si>
    <t>Validation before production</t>
  </si>
  <si>
    <t>QR-01; QR-03</t>
  </si>
  <si>
    <t>Factor enters via seed code</t>
  </si>
  <si>
    <t>Gate workflow + approval record</t>
  </si>
  <si>
    <t>Dated equity curve / run records</t>
  </si>
  <si>
    <t>Run registry with dated equity</t>
  </si>
  <si>
    <t>Dated trades + equity curve + run table</t>
  </si>
  <si>
    <t>strategy/; scores/backtest.py</t>
  </si>
  <si>
    <t>Shared capital; sizing</t>
  </si>
  <si>
    <t>Independent per-trade notional</t>
  </si>
  <si>
    <t>Portfolio simulator</t>
  </si>
  <si>
    <t>backtest_history.py:139</t>
  </si>
  <si>
    <t>Max DD on dated equity</t>
  </si>
  <si>
    <t>DD in trade order (wrong)</t>
  </si>
  <si>
    <t>Compute on equity curve</t>
  </si>
  <si>
    <t>strategy/</t>
  </si>
  <si>
    <t>backtest_aggressive.py:206</t>
  </si>
  <si>
    <t>Sharpe/Sortino/CAGR/Calmar</t>
  </si>
  <si>
    <t>Risk-adjusted metrics</t>
  </si>
  <si>
    <t>VaR/CVaR in backtest</t>
  </si>
  <si>
    <t>Tail metrics</t>
  </si>
  <si>
    <t>Itemised costs</t>
  </si>
  <si>
    <t>Brokerage; STT; GST; stamp; SEBI fee; exchange fee</t>
  </si>
  <si>
    <t>Single blended cost %</t>
  </si>
  <si>
    <t>Indian cost model shared by backtest and paper</t>
  </si>
  <si>
    <t>backtest_history.py:39</t>
  </si>
  <si>
    <t>Slippage in backtest</t>
  </si>
  <si>
    <t>Slippage model</t>
  </si>
  <si>
    <t>Paper broker only</t>
  </si>
  <si>
    <t>Shared slippage model</t>
  </si>
  <si>
    <t>paper.py:199</t>
  </si>
  <si>
    <t>ADV/turnover floor + participation cap</t>
  </si>
  <si>
    <t>One engine has floor</t>
  </si>
  <si>
    <t>All engines</t>
  </si>
  <si>
    <t>scores/backtest.py</t>
  </si>
  <si>
    <t>backtest.py:61</t>
  </si>
  <si>
    <t>DP-18</t>
  </si>
  <si>
    <t>Survivorship-free universe</t>
  </si>
  <si>
    <t>Point-in-time constituents</t>
  </si>
  <si>
    <t>Current NIFTY 500 download</t>
  </si>
  <si>
    <t>Store constituent history</t>
  </si>
  <si>
    <t>data/index_constituents.py</t>
  </si>
  <si>
    <t>Look-ahead; survivorship</t>
  </si>
  <si>
    <t>Look-ahead handled in 2 places</t>
  </si>
  <si>
    <t>Systematic checks</t>
  </si>
  <si>
    <t>backtest.py:163-174</t>
  </si>
  <si>
    <t>Split testing</t>
  </si>
  <si>
    <t>Forward signal tracker only</t>
  </si>
  <si>
    <t>Formal splits</t>
  </si>
  <si>
    <t>Rolling train/test (purged)</t>
  </si>
  <si>
    <t>Trade shuffle/bootstrap</t>
  </si>
  <si>
    <t>BT-04</t>
  </si>
  <si>
    <t>Parameter optimisation</t>
  </si>
  <si>
    <t>Optimiser</t>
  </si>
  <si>
    <t>Manual sweep</t>
  </si>
  <si>
    <t>Grid/Bayesian optimiser</t>
  </si>
  <si>
    <t>aggressive.py:57</t>
  </si>
  <si>
    <t>QR-11</t>
  </si>
  <si>
    <t>Parameter sensitivity</t>
  </si>
  <si>
    <t>Sensitivity analysis</t>
  </si>
  <si>
    <t>Neighbourhood analysis</t>
  </si>
  <si>
    <t>BT-14</t>
  </si>
  <si>
    <t>Robustness</t>
  </si>
  <si>
    <t>Deflated Sharpe; PBO; regime testing</t>
  </si>
  <si>
    <t>QR-12</t>
  </si>
  <si>
    <t>Reproducibility / experiment tracking</t>
  </si>
  <si>
    <t>Seeded runs; experiment log</t>
  </si>
  <si>
    <t>Experiment store</t>
  </si>
  <si>
    <t>QR-07</t>
  </si>
  <si>
    <t>Momentum/trend research</t>
  </si>
  <si>
    <t>Trend strategy research</t>
  </si>
  <si>
    <t>Aggressive exit + 3-policy backtest</t>
  </si>
  <si>
    <t>Entry-side research</t>
  </si>
  <si>
    <t>backtest_history.py</t>
  </si>
  <si>
    <t>QR-08</t>
  </si>
  <si>
    <t>Mean-reversion research</t>
  </si>
  <si>
    <t>MR strategy research</t>
  </si>
  <si>
    <t>RSI band inside VPI only</t>
  </si>
  <si>
    <t>Standalone MR tests</t>
  </si>
  <si>
    <t>QR-13</t>
  </si>
  <si>
    <t>Signal outcome research by regime</t>
  </si>
  <si>
    <t>Hit rate by regime/ACS decile</t>
  </si>
  <si>
    <t>success_report keyed on signal/threshold</t>
  </si>
  <si>
    <t>Add regime/ACS buckets</t>
  </si>
  <si>
    <t>signal_log.py:522</t>
  </si>
  <si>
    <t>TA-09</t>
  </si>
  <si>
    <t>Beta 3y / rolling 60</t>
  </si>
  <si>
    <t>1y; 3y; rolling-60 beta (QRH)</t>
  </si>
  <si>
    <t>1y beta only</t>
  </si>
  <si>
    <t>Add 3y and rolling beta</t>
  </si>
  <si>
    <t>SC-16</t>
  </si>
  <si>
    <t>Beta Risk Index</t>
  </si>
  <si>
    <t>Optional BRI (QRH)</t>
  </si>
  <si>
    <t>Define + implement</t>
  </si>
  <si>
    <t>TA-11</t>
  </si>
  <si>
    <t>Extended indicator catalogue</t>
  </si>
  <si>
    <t>Ichimoku; Donchian; Keltner; SAR; MFI; CMF; HV</t>
  </si>
  <si>
    <t>Implement per research workbook</t>
  </si>
  <si>
    <t>DP-08</t>
  </si>
  <si>
    <t>Derivatives data</t>
  </si>
  <si>
    <t>Futures; options; OI; IV; PCR</t>
  </si>
  <si>
    <t>NSE F&amp;O bhavcopy + option chain store</t>
  </si>
  <si>
    <t>SC-06</t>
  </si>
  <si>
    <t>MSI</t>
  </si>
  <si>
    <t>Market Sentiment Index per QRH</t>
  </si>
  <si>
    <t>Options/PCR frozen; news rule-based</t>
  </si>
  <si>
    <t>Real PCR; AI news later</t>
  </si>
  <si>
    <t>engine.py:374</t>
  </si>
  <si>
    <t>DP-10</t>
  </si>
  <si>
    <t>FII/DII history</t>
  </si>
  <si>
    <t>FII/DII time series</t>
  </si>
  <si>
    <t>Session flows; only 7 sessions history</t>
  </si>
  <si>
    <t>Historical backfill source</t>
  </si>
  <si>
    <t>DP-11</t>
  </si>
  <si>
    <t>GIFT Nifty</t>
  </si>
  <si>
    <t>Pre-open GIFT Nifty</t>
  </si>
  <si>
    <t>In index feed; shown on dashboard</t>
  </si>
  <si>
    <t>Verify pre-market capture; store history</t>
  </si>
  <si>
    <t>data/dhan.py</t>
  </si>
  <si>
    <t>dhan.py:486</t>
  </si>
  <si>
    <t>DB-04</t>
  </si>
  <si>
    <t>GIFT Nifty panel</t>
  </si>
  <si>
    <t>In index strip</t>
  </si>
  <si>
    <t>Dedicated pre-open view</t>
  </si>
  <si>
    <t>DP-12</t>
  </si>
  <si>
    <t>Global markets</t>
  </si>
  <si>
    <t>Indices; FX; commodities; yields</t>
  </si>
  <si>
    <t>13 yfinance tickers</t>
  </si>
  <si>
    <t>Bond yields; history depth</t>
  </si>
  <si>
    <t>data/markets.py</t>
  </si>
  <si>
    <t>markets.py:22-26</t>
  </si>
  <si>
    <t>DP-13</t>
  </si>
  <si>
    <t>Sector data</t>
  </si>
  <si>
    <t>Sector classification + sector indices</t>
  </si>
  <si>
    <t>Industry via constituents</t>
  </si>
  <si>
    <t>Sector index history; sector breadth</t>
  </si>
  <si>
    <t>DP-16</t>
  </si>
  <si>
    <t>Institutional data</t>
  </si>
  <si>
    <t>MF; promoter; insider; bulk/block</t>
  </si>
  <si>
    <t>Bulk/block only</t>
  </si>
  <si>
    <t>Promoter/SAST/PIT/MF feeds</t>
  </si>
  <si>
    <t>bhavcopy.py:67-124</t>
  </si>
  <si>
    <t>SC-14</t>
  </si>
  <si>
    <t>Institutional Score</t>
  </si>
  <si>
    <t>INS formula</t>
  </si>
  <si>
    <t>FII + bulk only</t>
  </si>
  <si>
    <t>Add MF/promoter/insider</t>
  </si>
  <si>
    <t>engine.py:188</t>
  </si>
  <si>
    <t>AD-03</t>
  </si>
  <si>
    <t>Bulk/block deal signal</t>
  </si>
  <si>
    <t>Deal-flow signal</t>
  </si>
  <si>
    <t>Feeds INS</t>
  </si>
  <si>
    <t>Validate with IC</t>
  </si>
  <si>
    <t>bhavcopy.py:113</t>
  </si>
  <si>
    <t>STRONG BUY..NO TRADE with reasons</t>
  </si>
  <si>
    <t>WAIT as de-facto no-trade</t>
  </si>
  <si>
    <t>Extended states + stored reasons</t>
  </si>
  <si>
    <t>engine.py:499</t>
  </si>
  <si>
    <t>SG-01</t>
  </si>
  <si>
    <t>SELL calibration</t>
  </si>
  <si>
    <t>BUY/SELL/HOLD/WAIT all reachable</t>
  </si>
  <si>
    <t>SELL never fired</t>
  </si>
  <si>
    <t>Backtest-based SELL thresholds</t>
  </si>
  <si>
    <t>determine_signal</t>
  </si>
  <si>
    <t>Strategy library</t>
  </si>
  <si>
    <t>Multiple strategies (FR-SB-004)</t>
  </si>
  <si>
    <t>One strategy + order rules</t>
  </si>
  <si>
    <t>Strategy interface + registry</t>
  </si>
  <si>
    <t>Parameter management</t>
  </si>
  <si>
    <t>Aggressive params; order_rules</t>
  </si>
  <si>
    <t>Param store per strategy with versions</t>
  </si>
  <si>
    <t>strategy/; orders/rules.py</t>
  </si>
  <si>
    <t>Rule engine</t>
  </si>
  <si>
    <t>orders/rules.py rule engine</t>
  </si>
  <si>
    <t>Generic rule definition format</t>
  </si>
  <si>
    <t>orders/rules.py</t>
  </si>
  <si>
    <t>Composite-score entries</t>
  </si>
  <si>
    <t>SE-01; QR-01</t>
  </si>
  <si>
    <t>BUY from ATIP composite</t>
  </si>
  <si>
    <t>IC-weighted multi-factor strategy</t>
  </si>
  <si>
    <t>engine.py:435</t>
  </si>
  <si>
    <t>Factor/stat strategies</t>
  </si>
  <si>
    <t>Implement first quant strategies</t>
  </si>
  <si>
    <t>Idea -&gt; research -&gt; paper -&gt; live -&gt; retired</t>
  </si>
  <si>
    <t>State machine + gates</t>
  </si>
  <si>
    <t>strategy_event 3 rows</t>
  </si>
  <si>
    <t>Rolling Sharpe/DD per strategy</t>
  </si>
  <si>
    <t>SE-09; BT-16</t>
  </si>
  <si>
    <t>Health scoring + alerts</t>
  </si>
  <si>
    <t>Strategy combination/ranking/selection</t>
  </si>
  <si>
    <t>Allocator across strategies</t>
  </si>
  <si>
    <t>Allocator</t>
  </si>
  <si>
    <t>Regime switches strategies</t>
  </si>
  <si>
    <t>SE-07; ML-05</t>
  </si>
  <si>
    <t>Regime gates only</t>
  </si>
  <si>
    <t>Regime-conditional allocation</t>
  </si>
  <si>
    <t>SG-08</t>
  </si>
  <si>
    <t>Intraday scans</t>
  </si>
  <si>
    <t>Midday/pre-close scans on real data</t>
  </si>
  <si>
    <t>Scheduled 12:30 and 14:45</t>
  </si>
  <si>
    <t>Use stored intraday bars</t>
  </si>
  <si>
    <t>scheduler.py:1048</t>
  </si>
  <si>
    <t>DB-11</t>
  </si>
  <si>
    <t>Crash Risk + Top 25 SPI/MSI lists</t>
  </si>
  <si>
    <t>Daily top-25 lists per concept document</t>
  </si>
  <si>
    <t>CRI per-stock column only</t>
  </si>
  <si>
    <t>Dedicated lists</t>
  </si>
  <si>
    <t>DB-16</t>
  </si>
  <si>
    <t>Strategy performance panel</t>
  </si>
  <si>
    <t>Panel</t>
  </si>
  <si>
    <t>Outcome labels for training</t>
  </si>
  <si>
    <t>predictions + accuracy_tracker</t>
  </si>
  <si>
    <t>Label store with horizons</t>
  </si>
  <si>
    <t>scores/</t>
  </si>
  <si>
    <t>Automated selection</t>
  </si>
  <si>
    <t>ML-13; QR-01</t>
  </si>
  <si>
    <t>Purged CV; AUC; calibration</t>
  </si>
  <si>
    <t>ML-13; BT-02</t>
  </si>
  <si>
    <t>Validation framework</t>
  </si>
  <si>
    <t>Classification/regression models</t>
  </si>
  <si>
    <t>None; no ML library</t>
  </si>
  <si>
    <t>First model (e.g. gradient boosting)</t>
  </si>
  <si>
    <t>grep sklearn = 0</t>
  </si>
  <si>
    <t>FR-ML-002</t>
  </si>
  <si>
    <t>ML-01; DBS-07</t>
  </si>
  <si>
    <t>Signal provenance only</t>
  </si>
  <si>
    <t>Registry</t>
  </si>
  <si>
    <t>Ensembles</t>
  </si>
  <si>
    <t>Drift alerts (FR-ML-001)</t>
  </si>
  <si>
    <t>FR-AI-003</t>
  </si>
  <si>
    <t>top_factor_1..3</t>
  </si>
  <si>
    <t>Model attribution</t>
  </si>
  <si>
    <t>Model-based regime + probability</t>
  </si>
  <si>
    <t>5-way threshold on MH</t>
  </si>
  <si>
    <t>HMM/GMM; regime-conditional weights</t>
  </si>
  <si>
    <t>compute_mh</t>
  </si>
  <si>
    <t>ML-03</t>
  </si>
  <si>
    <t>Unsupervised learning</t>
  </si>
  <si>
    <t>Clustering</t>
  </si>
  <si>
    <t>ML-06</t>
  </si>
  <si>
    <t>Anomaly detection</t>
  </si>
  <si>
    <t>Data/market anomalies</t>
  </si>
  <si>
    <t>SE-05</t>
  </si>
  <si>
    <t>AI-driven strategies</t>
  </si>
  <si>
    <t>FR-SB-003</t>
  </si>
  <si>
    <t>ML-01; SE-01</t>
  </si>
  <si>
    <t>ML-signal strategy through lifecycle</t>
  </si>
  <si>
    <t>NS-02</t>
  </si>
  <si>
    <t>News classification</t>
  </si>
  <si>
    <t>Earnings/Orders/M&amp;A/RBI/Govt/Global/Geopolitics</t>
  </si>
  <si>
    <t>Claude classifier coded; key unset</t>
  </si>
  <si>
    <t>Set key; taxonomy; cost cap</t>
  </si>
  <si>
    <t>news.py:118-129</t>
  </si>
  <si>
    <t>NS-03</t>
  </si>
  <si>
    <t>Sentiment + confidence</t>
  </si>
  <si>
    <t>Positive/neutral/negative + confidence</t>
  </si>
  <si>
    <t>Rule-based; confidence frozen 50</t>
  </si>
  <si>
    <t>Model-based scoring</t>
  </si>
  <si>
    <t>NS-05</t>
  </si>
  <si>
    <t>Novelty/decay/source weighting</t>
  </si>
  <si>
    <t>Decayed weighted sentiment</t>
  </si>
  <si>
    <t>NS-04</t>
  </si>
  <si>
    <t>AI news summary</t>
  </si>
  <si>
    <t>Summary for dashboard</t>
  </si>
  <si>
    <t>Headline list</t>
  </si>
  <si>
    <t>LLM summary</t>
  </si>
  <si>
    <t>/api/news</t>
  </si>
  <si>
    <t>DB-06</t>
  </si>
  <si>
    <t>AI News Summary panel</t>
  </si>
  <si>
    <t>News panel (rule-based)</t>
  </si>
  <si>
    <t>Show AI summary</t>
  </si>
  <si>
    <t>NS-06</t>
  </si>
  <si>
    <t>Earnings call / announcement NLP</t>
  </si>
  <si>
    <t>Transcript sentiment</t>
  </si>
  <si>
    <t>ML-02</t>
  </si>
  <si>
    <t>Deep learning</t>
  </si>
  <si>
    <t>Neural models</t>
  </si>
  <si>
    <t>Only if validated benefit</t>
  </si>
  <si>
    <t>ML-04</t>
  </si>
  <si>
    <t>Reinforcement learning</t>
  </si>
  <si>
    <t>RL where appropriate</t>
  </si>
  <si>
    <t>Low priority</t>
  </si>
  <si>
    <t>DB-18</t>
  </si>
  <si>
    <t>Quant/model panel</t>
  </si>
  <si>
    <t>Factor IC; model health</t>
  </si>
  <si>
    <t>PF-03</t>
  </si>
  <si>
    <t>Exposure / sector allocation</t>
  </si>
  <si>
    <t>Allocation view</t>
  </si>
  <si>
    <t>Partial via PHS</t>
  </si>
  <si>
    <t>Sector exposure table</t>
  </si>
  <si>
    <t>PF-04</t>
  </si>
  <si>
    <t>Concentration/diversification</t>
  </si>
  <si>
    <t>HHI; weight caps</t>
  </si>
  <si>
    <t>Diversification term in PHS</t>
  </si>
  <si>
    <t>Position-weight metrics</t>
  </si>
  <si>
    <t>portfolio_health.py:127</t>
  </si>
  <si>
    <t>PF-09</t>
  </si>
  <si>
    <t>Correlation</t>
  </si>
  <si>
    <t>Holdings correlation</t>
  </si>
  <si>
    <t>RK-11</t>
  </si>
  <si>
    <t>Correlation risk</t>
  </si>
  <si>
    <t>Cluster limits</t>
  </si>
  <si>
    <t>RK-12</t>
  </si>
  <si>
    <t>Portfolio VaR/ES</t>
  </si>
  <si>
    <t>Portfolio risk</t>
  </si>
  <si>
    <t>RK-06</t>
  </si>
  <si>
    <t>Sector limits</t>
  </si>
  <si>
    <t>Sector cap</t>
  </si>
  <si>
    <t>Pre-trade sector check</t>
  </si>
  <si>
    <t>RK-09</t>
  </si>
  <si>
    <t>Volatility limits</t>
  </si>
  <si>
    <t>Vol-scaled exposure</t>
  </si>
  <si>
    <t>RK-10</t>
  </si>
  <si>
    <t>Liquidity limits</t>
  </si>
  <si>
    <t>ADV participation cap</t>
  </si>
  <si>
    <t>None in order path</t>
  </si>
  <si>
    <t>Pre-trade ADV check</t>
  </si>
  <si>
    <t>RK-18</t>
  </si>
  <si>
    <t>Strategy risk budget</t>
  </si>
  <si>
    <t>Per-strategy limits</t>
  </si>
  <si>
    <t>RK-01</t>
  </si>
  <si>
    <t>Kill switch scopes + auto-trigger</t>
  </si>
  <si>
    <t>Global/strategy/symbol; auto on breach</t>
  </si>
  <si>
    <t>RK-07; RK-08</t>
  </si>
  <si>
    <t>Global flag file + config</t>
  </si>
  <si>
    <t>Per-strategy/symbol; auto-trigger</t>
  </si>
  <si>
    <t>Flatten all positions</t>
  </si>
  <si>
    <t>One-command flatten with confirm</t>
  </si>
  <si>
    <t>orders/</t>
  </si>
  <si>
    <t>PF-10</t>
  </si>
  <si>
    <t>Portfolio optimisation</t>
  </si>
  <si>
    <t>Vol target; risk parity; MV with costs; BL</t>
  </si>
  <si>
    <t>Covariance + optimiser</t>
  </si>
  <si>
    <t>PF-06</t>
  </si>
  <si>
    <t>Rebalancing</t>
  </si>
  <si>
    <t>Rebalance proposals</t>
  </si>
  <si>
    <t>PF-07</t>
  </si>
  <si>
    <t>Risk attribution</t>
  </si>
  <si>
    <t>Risk contribution</t>
  </si>
  <si>
    <t>PF-08</t>
  </si>
  <si>
    <t>Performance attribution</t>
  </si>
  <si>
    <t>Return attribution</t>
  </si>
  <si>
    <t>PF-11</t>
  </si>
  <si>
    <t>CAGR/XIRR analytics</t>
  </si>
  <si>
    <t>FR-PO-004</t>
  </si>
  <si>
    <t>DB-17</t>
  </si>
  <si>
    <t>Risk dashboard</t>
  </si>
  <si>
    <t>Risk panel</t>
  </si>
  <si>
    <t>Market/limit/SL/SL-M/GTT/bracket</t>
  </si>
  <si>
    <t>Market + limit</t>
  </si>
  <si>
    <t>Add SL/SL-M/GTT</t>
  </si>
  <si>
    <t>orders/broker.py</t>
  </si>
  <si>
    <t>FR-LT-002/003</t>
  </si>
  <si>
    <t>Not verified</t>
  </si>
  <si>
    <t>Confirm; implement</t>
  </si>
  <si>
    <t>Orders vs broker fills/positions</t>
  </si>
  <si>
    <t>Partial reconcile code</t>
  </si>
  <si>
    <t>EOD reconciliation job + alert</t>
  </si>
  <si>
    <t>Connection health</t>
  </si>
  <si>
    <t>FR-BI-003</t>
  </si>
  <si>
    <t>broker-status route; WS stall detection</t>
  </si>
  <si>
    <t>Health checks + alerts</t>
  </si>
  <si>
    <t>Token expiry; connection loss</t>
  </si>
  <si>
    <t>broker-status route</t>
  </si>
  <si>
    <t>Automated checks</t>
  </si>
  <si>
    <t>BR-08</t>
  </si>
  <si>
    <t>Sandbox</t>
  </si>
  <si>
    <t>Broker sandbox environment</t>
  </si>
  <si>
    <t>SANDBOX env defined</t>
  </si>
  <si>
    <t>Verify sandbox path end-to-end</t>
  </si>
  <si>
    <t>Slippage vs decision price</t>
  </si>
  <si>
    <t>Assumption only</t>
  </si>
  <si>
    <t>Measure per fill</t>
  </si>
  <si>
    <t>Implementation shortfall; fill/reject rate</t>
  </si>
  <si>
    <t>order_log raw data only</t>
  </si>
  <si>
    <t>Analytics + panel</t>
  </si>
  <si>
    <t>BR-02</t>
  </si>
  <si>
    <t>Zerodha/Kite</t>
  </si>
  <si>
    <t>Portfolio (+orders optional)</t>
  </si>
  <si>
    <t>Holdings sync only</t>
  </si>
  <si>
    <t>Token refresh; orders if wanted</t>
  </si>
  <si>
    <t>portfolio/zerodha.py</t>
  </si>
  <si>
    <t>Live P&amp;L view</t>
  </si>
  <si>
    <t>Dashboard partial</t>
  </si>
  <si>
    <t>Live P&amp;L panel</t>
  </si>
  <si>
    <t>Immutable audit (FR-AT-001)</t>
  </si>
  <si>
    <t>order_log; signal_log; pipeline_log</t>
  </si>
  <si>
    <t>Tamper-evident unified audit</t>
  </si>
  <si>
    <t>DP-04</t>
  </si>
  <si>
    <t>Tick capture store</t>
  </si>
  <si>
    <t>live_ticks exists; 0 rows</t>
  </si>
  <si>
    <t>Tick ingestion + storage</t>
  </si>
  <si>
    <t>DP-05</t>
  </si>
  <si>
    <t>Order book / depth</t>
  </si>
  <si>
    <t>L2 depth; bid/ask</t>
  </si>
  <si>
    <t>FULL feed type defined (CLI only)</t>
  </si>
  <si>
    <t>Depth capture + schema</t>
  </si>
  <si>
    <t>dhan.py FULL=21</t>
  </si>
  <si>
    <t>AF-07</t>
  </si>
  <si>
    <t>OBI; spread; microprice</t>
  </si>
  <si>
    <t>AF-06</t>
  </si>
  <si>
    <t>OI buildup; IV; PCR; skew</t>
  </si>
  <si>
    <t>QR-10</t>
  </si>
  <si>
    <t>IV/RV; vol breakout</t>
  </si>
  <si>
    <t>QR-05</t>
  </si>
  <si>
    <t>Stat-arb / pairs / cointegration</t>
  </si>
  <si>
    <t>Pairs research</t>
  </si>
  <si>
    <t>QR-06</t>
  </si>
  <si>
    <t>Cross-sectional / market-neutral</t>
  </si>
  <si>
    <t>Long-short research</t>
  </si>
  <si>
    <t>None (long-only cash)</t>
  </si>
  <si>
    <t>Needs shorting via F&amp;O</t>
  </si>
  <si>
    <t>QR-09</t>
  </si>
  <si>
    <t>Event-driven research</t>
  </si>
  <si>
    <t>Earnings/CA event studies</t>
  </si>
  <si>
    <t>CA data exists; no event study</t>
  </si>
  <si>
    <t>Abnormal-return engine</t>
  </si>
  <si>
    <t>AF-05</t>
  </si>
  <si>
    <t>Value/quality composites</t>
  </si>
  <si>
    <t>Piotroski; Altman; value z-composite</t>
  </si>
  <si>
    <t>EX-11</t>
  </si>
  <si>
    <t>Execution algos</t>
  </si>
  <si>
    <t>TWAP/VWAP/POV</t>
  </si>
  <si>
    <t>EX-12</t>
  </si>
  <si>
    <t>Market impact model</t>
  </si>
  <si>
    <t>Impact estimate</t>
  </si>
  <si>
    <t>EX-15</t>
  </si>
  <si>
    <t>p50/p95/p99</t>
  </si>
  <si>
    <t>Instrument data and order paths</t>
  </si>
  <si>
    <t>EX-16</t>
  </si>
  <si>
    <t>Event bus signal-&gt;risk-&gt;order-&gt;fill</t>
  </si>
  <si>
    <t>Synchronous calls</t>
  </si>
  <si>
    <t>BT-17</t>
  </si>
  <si>
    <t>Event engine shared with live</t>
  </si>
  <si>
    <t>Bar loops only</t>
  </si>
  <si>
    <t>DP-14</t>
  </si>
  <si>
    <t>Macroeconomic data</t>
  </si>
  <si>
    <t>RBI rates; CPI; IIP; yields</t>
  </si>
  <si>
    <t>Macro connectors + calendar</t>
  </si>
  <si>
    <t>AD-01</t>
  </si>
  <si>
    <t>Alt-data framework</t>
  </si>
  <si>
    <t>Source abstraction</t>
  </si>
  <si>
    <t>DataSource interface</t>
  </si>
  <si>
    <t>AD-02</t>
  </si>
  <si>
    <t>Alt-data sources</t>
  </si>
  <si>
    <t>Web/social/search/etc.</t>
  </si>
  <si>
    <t>Add sources</t>
  </si>
  <si>
    <t>DP-22</t>
  </si>
  <si>
    <t>Columnar PIT research store</t>
  </si>
  <si>
    <t>SQLite only</t>
  </si>
  <si>
    <t>Parquet/DuckDB store</t>
  </si>
  <si>
    <t>DP-21</t>
  </si>
  <si>
    <t>Commodities; FX; bonds; MF</t>
  </si>
  <si>
    <t>Global display tickers only</t>
  </si>
  <si>
    <t>MCX/CDS/bond/MF feeds</t>
  </si>
  <si>
    <t>MON-05</t>
  </si>
  <si>
    <t>Model/factor decay monitoring</t>
  </si>
  <si>
    <t>Decay alerts</t>
  </si>
  <si>
    <t>QR-02; ML-09</t>
  </si>
  <si>
    <t>DR / backup automation</t>
  </si>
  <si>
    <t>DR plan</t>
  </si>
  <si>
    <t>Restore drills</t>
  </si>
  <si>
    <t>SEC-04</t>
  </si>
  <si>
    <t>TLS 1.3; AES-256 at rest (SRS)</t>
  </si>
  <si>
    <t>None locally</t>
  </si>
  <si>
    <t>Encrypt secrets and DB at rest</t>
  </si>
  <si>
    <t>API-05</t>
  </si>
  <si>
    <t>API contracts/docs</t>
  </si>
  <si>
    <t>Documented contracts</t>
  </si>
  <si>
    <t>FastAPI defaults only</t>
  </si>
  <si>
    <t>Written contracts</t>
  </si>
  <si>
    <t>API-06</t>
  </si>
  <si>
    <t>Widget JSON schemas</t>
  </si>
  <si>
    <t>QRH deliverable</t>
  </si>
  <si>
    <t>Define schemas</t>
  </si>
  <si>
    <t>Documentation set</t>
  </si>
  <si>
    <t>BRD..OPS documents with real content</t>
  </si>
  <si>
    <t>Mostly 60-word templates</t>
  </si>
  <si>
    <t>Author docs from as-built system</t>
  </si>
  <si>
    <t>docs/</t>
  </si>
  <si>
    <t>OLd_Archives_ATIP/ATIP_Docs</t>
  </si>
  <si>
    <t>Enterprise Platform</t>
  </si>
  <si>
    <t>Per-user data isolation; tenant model</t>
  </si>
  <si>
    <t>Enterprise-SaaS</t>
  </si>
  <si>
    <t>Single-user local design</t>
  </si>
  <si>
    <t>Architecture decision record; tenant-scoped schema</t>
  </si>
  <si>
    <t>BRD-003; SRS 2</t>
  </si>
  <si>
    <t>DBS-05</t>
  </si>
  <si>
    <t>Scalable database</t>
  </si>
  <si>
    <t>PostgreSQL/time-series (SRS)</t>
  </si>
  <si>
    <t>SQLite</t>
  </si>
  <si>
    <t>Migrate to Postgres</t>
  </si>
  <si>
    <t>SRS 2</t>
  </si>
  <si>
    <t>ENT-07</t>
  </si>
  <si>
    <t>Secure internet exposure</t>
  </si>
  <si>
    <t>TLS; WAF; rate limits; zero trust</t>
  </si>
  <si>
    <t>Local-only by design (never exposed)</t>
  </si>
  <si>
    <t>Security architecture before any exposure</t>
  </si>
  <si>
    <t>SRS 5</t>
  </si>
  <si>
    <t>Users / RBAC / MFA</t>
  </si>
  <si>
    <t>FR-AU-001/002; RBAC</t>
  </si>
  <si>
    <t>Single-user; none</t>
  </si>
  <si>
    <t>Identity provider; roles; MFA</t>
  </si>
  <si>
    <t>SRS Part III</t>
  </si>
  <si>
    <t>ENT-05</t>
  </si>
  <si>
    <t>Session management</t>
  </si>
  <si>
    <t>Timeout; refresh tokens; revocation (FR-AU-003)</t>
  </si>
  <si>
    <t>Single static token</t>
  </si>
  <si>
    <t>User Management</t>
  </si>
  <si>
    <t>User registration/onboarding</t>
  </si>
  <si>
    <t>Email; mobile; OAuth; Google; Apple (FR-UM-001)</t>
  </si>
  <si>
    <t>User profile + risk profile</t>
  </si>
  <si>
    <t>FR-UM-002</t>
  </si>
  <si>
    <t>Per-user broker credential vault</t>
  </si>
  <si>
    <t>Broker OAuth; encrypted per-user tokens</t>
  </si>
  <si>
    <t>One owner's config.json</t>
  </si>
  <si>
    <t>Vault + broker OAuth</t>
  </si>
  <si>
    <t>Compliance</t>
  </si>
  <si>
    <t>SEBI retail algo framework (broker/exchange algo approval); RA/IA registration if advice is offered</t>
  </si>
  <si>
    <t>Legal review before offering to other users</t>
  </si>
  <si>
    <t>BRD-006</t>
  </si>
  <si>
    <t>SEC-05</t>
  </si>
  <si>
    <t>Compliance monitoring</t>
  </si>
  <si>
    <t>FR-AT-002</t>
  </si>
  <si>
    <t>Implement controls from ENT-14</t>
  </si>
  <si>
    <t>ENT-17</t>
  </si>
  <si>
    <t>Data privacy</t>
  </si>
  <si>
    <t>DPDP Act; consent; retention</t>
  </si>
  <si>
    <t>Privacy policy + controls</t>
  </si>
  <si>
    <t>BRD-004</t>
  </si>
  <si>
    <t>Channels</t>
  </si>
  <si>
    <t>Web UI for all users</t>
  </si>
  <si>
    <t>Single-user dashboard + read-only snapshot</t>
  </si>
  <si>
    <t>Build web app</t>
  </si>
  <si>
    <t>Subscriptions &amp; billing</t>
  </si>
  <si>
    <t>Free/Premium/Enterprise (FR-UM-003)</t>
  </si>
  <si>
    <t>Plans + payment gateway</t>
  </si>
  <si>
    <t>ENT-18</t>
  </si>
  <si>
    <t>Multi-device login</t>
  </si>
  <si>
    <t>FR-UM-004</t>
  </si>
  <si>
    <t>BR-006</t>
  </si>
  <si>
    <t>Per-user price &amp; AI alerts</t>
  </si>
  <si>
    <t>FR-AL-001/002</t>
  </si>
  <si>
    <t>Owner-only Telegram</t>
  </si>
  <si>
    <t>Push; SMS; email; WhatsApp; in-app (FR-AL-003)</t>
  </si>
  <si>
    <t>Telegram only</t>
  </si>
  <si>
    <t>ENT-09</t>
  </si>
  <si>
    <t>Mobile apps</t>
  </si>
  <si>
    <t>Android + iOS</t>
  </si>
  <si>
    <t>Build apps</t>
  </si>
  <si>
    <t>FR-API-001/003</t>
  </si>
  <si>
    <t>/v1 API with auth and rate limits</t>
  </si>
  <si>
    <t>API-04</t>
  </si>
  <si>
    <t>Webhooks</t>
  </si>
  <si>
    <t>FR-API-002</t>
  </si>
  <si>
    <t>Angel/Groww/Upstox/CSV (FR-PO-002)</t>
  </si>
  <si>
    <t>Importers</t>
  </si>
  <si>
    <t>Angel/Upstox/Groww trading</t>
  </si>
  <si>
    <t>ENT-06; BR-03</t>
  </si>
  <si>
    <t>Adapters behind BR-03 interface</t>
  </si>
  <si>
    <t>ENT-15</t>
  </si>
  <si>
    <t>Multi-asset trading</t>
  </si>
  <si>
    <t>MF; bonds; commodities; currency (FR-PO-003)</t>
  </si>
  <si>
    <t>DP-21; BR-07</t>
  </si>
  <si>
    <t>Equity cash only</t>
  </si>
  <si>
    <t>Asset-specific execution/risk adapters</t>
  </si>
  <si>
    <t>BRD-001</t>
  </si>
  <si>
    <t>ENT-12</t>
  </si>
  <si>
    <t>Reporting</t>
  </si>
  <si>
    <t>Reports</t>
  </si>
  <si>
    <t>Portfolio; tax; AI performance (FR-RP)</t>
  </si>
  <si>
    <t>Report generation + export</t>
  </si>
  <si>
    <t>Administration</t>
  </si>
  <si>
    <t>User admin; system config (FR-AD)</t>
  </si>
  <si>
    <t>config.json edited by hand</t>
  </si>
  <si>
    <t>Admin console</t>
  </si>
  <si>
    <t>SE-10</t>
  </si>
  <si>
    <t>No/low-code strategy builder</t>
  </si>
  <si>
    <t>FR-SB-001/002</t>
  </si>
  <si>
    <t>SE-01; ENT-08</t>
  </si>
  <si>
    <t>Visual builder on SE-01 interface</t>
  </si>
  <si>
    <t>ML-16</t>
  </si>
  <si>
    <t>AI chat assistant</t>
  </si>
  <si>
    <t>NL assistant (SRS)</t>
  </si>
  <si>
    <t>SRS 3</t>
  </si>
  <si>
    <t>Docker/Kubernetes on cloud (SRS)</t>
  </si>
  <si>
    <t>DBS-05; ENT-07</t>
  </si>
  <si>
    <t>Local Windows only</t>
  </si>
  <si>
    <t>Containerise; IaC; environments</t>
  </si>
  <si>
    <t>ENT-16</t>
  </si>
  <si>
    <t>Scalability, HA &amp; observability</t>
  </si>
  <si>
    <t>99.9%+ availability; horizontal scale; metrics/tracing</t>
  </si>
  <si>
    <t>Single process</t>
  </si>
  <si>
    <t>HA design + SLOs</t>
  </si>
  <si>
    <t>SRS 4</t>
  </si>
  <si>
    <t>Sum of Completion %2</t>
  </si>
  <si>
    <t>Completed %</t>
  </si>
  <si>
    <t>In Progress %</t>
  </si>
  <si>
    <t>Yet to Start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</si>
</sst>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165" fontId="0" fillId="0" borderId="1" xfId="0" applyNumberFormat="1" applyBorder="1"/>
    <xf numFmtId="0" fontId="0" fillId="5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0" borderId="6" xfId="0" applyBorder="1"/>
    <xf numFmtId="0" fontId="0" fillId="0" borderId="7" xfId="0" applyBorder="1"/>
    <xf numFmtId="0" fontId="3" fillId="4" borderId="9" xfId="0" applyFont="1" applyFill="1" applyBorder="1" applyAlignment="1">
      <alignment horizontal="center"/>
    </xf>
    <xf numFmtId="165" fontId="0" fillId="0" borderId="9" xfId="0" applyNumberFormat="1" applyBorder="1"/>
    <xf numFmtId="165" fontId="0" fillId="5" borderId="9" xfId="0" applyNumberFormat="1" applyFill="1" applyBorder="1"/>
    <xf numFmtId="165" fontId="0" fillId="6" borderId="9" xfId="0" applyNumberFormat="1" applyFill="1" applyBorder="1"/>
    <xf numFmtId="0" fontId="0" fillId="0" borderId="11" xfId="0" applyNumberFormat="1" applyBorder="1"/>
    <xf numFmtId="165" fontId="0" fillId="5" borderId="11" xfId="0" applyNumberFormat="1" applyFill="1" applyBorder="1"/>
    <xf numFmtId="165" fontId="0" fillId="0" borderId="11" xfId="0" applyNumberFormat="1" applyBorder="1"/>
    <xf numFmtId="165" fontId="0" fillId="0" borderId="12" xfId="0" applyNumberFormat="1" applyBorder="1"/>
    <xf numFmtId="0" fontId="0" fillId="0" borderId="9" xfId="0" applyNumberFormat="1" applyBorder="1"/>
    <xf numFmtId="0" fontId="0" fillId="5" borderId="9" xfId="0" applyNumberFormat="1" applyFill="1" applyBorder="1"/>
    <xf numFmtId="0" fontId="0" fillId="0" borderId="12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13" xfId="0" applyNumberFormat="1" applyBorder="1"/>
    <xf numFmtId="0" fontId="0" fillId="0" borderId="8" xfId="0" applyNumberFormat="1" applyBorder="1"/>
    <xf numFmtId="0" fontId="0" fillId="5" borderId="8" xfId="0" applyNumberFormat="1" applyFill="1" applyBorder="1"/>
    <xf numFmtId="0" fontId="0" fillId="0" borderId="10" xfId="0" applyNumberFormat="1" applyBorder="1"/>
    <xf numFmtId="0" fontId="0" fillId="0" borderId="3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" xfId="0" applyBorder="1" applyAlignment="1">
      <alignment horizontal="left"/>
    </xf>
    <xf numFmtId="0" fontId="0" fillId="0" borderId="17" xfId="0" applyBorder="1" applyAlignment="1">
      <alignment horizontal="left" indent="1"/>
    </xf>
    <xf numFmtId="0" fontId="0" fillId="0" borderId="19" xfId="0" applyBorder="1" applyAlignment="1">
      <alignment horizontal="left" indent="1"/>
    </xf>
    <xf numFmtId="0" fontId="0" fillId="5" borderId="19" xfId="0" applyFill="1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0" fillId="5" borderId="17" xfId="0" applyFill="1" applyBorder="1" applyAlignment="1">
      <alignment horizontal="left" indent="1"/>
    </xf>
  </cellXfs>
  <cellStyles count="1">
    <cellStyle name="Normal" xfId="0" builtinId="0"/>
  </cellStyles>
  <dxfs count="182"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" refreshedDate="46290.780499537039" createdVersion="8" refreshedVersion="8" minRefreshableVersion="3" recordCount="258" xr:uid="{094480A0-DDFA-4987-9A96-298FE0F351EA}">
  <cacheSource type="worksheet">
    <worksheetSource ref="A1:V259" sheet="Source_ATIP_MASTER_TRACKER"/>
  </cacheSource>
  <cacheFields count="22">
    <cacheField name="Seq" numFmtId="0">
      <sharedItems containsSemiMixedTypes="0" containsString="0" containsNumber="1" containsInteger="1" minValue="1" maxValue="258"/>
    </cacheField>
    <cacheField name="Phase" numFmtId="0">
      <sharedItems containsSemiMixedTypes="0" containsString="0" containsNumber="1" containsInteger="1" minValue="0" maxValue="9"/>
    </cacheField>
    <cacheField name="Phase Name" numFmtId="0">
      <sharedItems count="10">
        <s v="Delivered baseline (maintain)"/>
        <s v="Foundation"/>
        <s v="Quant Research (data, factors, backtesting)"/>
        <s v="Strategy Engine"/>
        <s v="AI/ML"/>
        <s v="Risk &amp; Portfolio"/>
        <s v="Execution"/>
        <s v="Advanced Quant"/>
        <s v="Production Hardening"/>
        <s v="Enterprise SaaS (final objective)"/>
      </sharedItems>
    </cacheField>
    <cacheField name="ID" numFmtId="0">
      <sharedItems/>
    </cacheField>
    <cacheField name="Module" numFmtId="0">
      <sharedItems/>
    </cacheField>
    <cacheField name="Feature" numFmtId="0">
      <sharedItems/>
    </cacheField>
    <cacheField name="Target Requirement" numFmtId="0">
      <sharedItems/>
    </cacheField>
    <cacheField name="Scope Source" numFmtId="0">
      <sharedItems count="4">
        <s v="Agreed-Spec"/>
        <s v="Code-Derived"/>
        <s v="Quant-Research"/>
        <s v="Enterprise-SaaS"/>
      </sharedItems>
    </cacheField>
    <cacheField name="Priority" numFmtId="0">
      <sharedItems/>
    </cacheField>
    <cacheField name="Status" numFmtId="0">
      <sharedItems count="4">
        <s v="COMPLETED"/>
        <s v="IN PROGRESS"/>
        <s v="YET TO START"/>
        <s v="UNCLEAR"/>
      </sharedItems>
    </cacheField>
    <cacheField name="Completion %" numFmtId="0">
      <sharedItems containsSemiMixedTypes="0" containsString="0" containsNumber="1" containsInteger="1" minValue="0" maxValue="90" count="18">
        <n v="90"/>
        <n v="80"/>
        <n v="75"/>
        <n v="85"/>
        <n v="70"/>
        <n v="65"/>
        <n v="40"/>
        <n v="30"/>
        <n v="55"/>
        <n v="50"/>
        <n v="5"/>
        <n v="0"/>
        <n v="20"/>
        <n v="60"/>
        <n v="25"/>
        <n v="35"/>
        <n v="15"/>
        <n v="10"/>
      </sharedItems>
    </cacheField>
    <cacheField name="Depends On" numFmtId="0">
      <sharedItems containsBlank="1"/>
    </cacheField>
    <cacheField name="Current Implementation" numFmtId="0">
      <sharedItems containsBlank="1"/>
    </cacheField>
    <cacheField name="Next Action / Missing Work" numFmtId="0">
      <sharedItems/>
    </cacheField>
    <cacheField name="Key Files" numFmtId="0">
      <sharedItems/>
    </cacheField>
    <cacheField name="Evidence" numFmtId="0">
      <sharedItems containsMixedTypes="1" containsNumber="1" containsInteger="1" minValue="7132017" maxValue="7132017"/>
    </cacheField>
    <cacheField name="Owner" numFmtId="0">
      <sharedItems containsNonDate="0" containsString="0" containsBlank="1"/>
    </cacheField>
    <cacheField name="Target Date" numFmtId="0">
      <sharedItems containsNonDate="0" containsString="0" containsBlank="1"/>
    </cacheField>
    <cacheField name="Started On" numFmtId="0">
      <sharedItems containsNonDate="0" containsString="0" containsBlank="1"/>
    </cacheField>
    <cacheField name="Completed On" numFmtId="0">
      <sharedItems containsNonDate="0" containsString="0" containsBlank="1"/>
    </cacheField>
    <cacheField name="Last Updated" numFmtId="164">
      <sharedItems containsSemiMixedTypes="0" containsNonDate="0" containsDate="1" containsString="0" minDate="2026-09-24T00:00:00" maxDate="2026-09-25T00:00:0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1"/>
    <n v="0"/>
    <x v="0"/>
    <s v="DP-02"/>
    <s v="Data Platform"/>
    <s v="Daily OHLCV history"/>
    <s v="Clean daily bars for universe"/>
    <x v="0"/>
    <s v="P0"/>
    <x v="0"/>
    <x v="0"/>
    <m/>
    <s v="NSE Bhavcopy + Dhan; coverage/freshness/duplicate guards"/>
    <s v="Maintain"/>
    <s v="data/bhavcopy.py; data/dhan.py"/>
    <s v="prices_daily ~234k rows / 426 sessions"/>
    <m/>
    <m/>
    <m/>
    <m/>
    <d v="2026-09-24T00:00:00"/>
    <m/>
  </r>
  <r>
    <n v="2"/>
    <n v="0"/>
    <x v="0"/>
    <s v="DP-07"/>
    <s v="Data Platform"/>
    <s v="Delivery data"/>
    <s v="Delivery qty and %"/>
    <x v="1"/>
    <s v="P1"/>
    <x v="0"/>
    <x v="0"/>
    <m/>
    <s v="Full Bhavcopy nightly + backfill"/>
    <s v="Maintain"/>
    <s v="data/bhavcopy.py"/>
    <s v="223,854 rows"/>
    <m/>
    <m/>
    <m/>
    <m/>
    <d v="2026-09-24T00:00:00"/>
    <m/>
  </r>
  <r>
    <n v="3"/>
    <n v="0"/>
    <x v="0"/>
    <s v="DP-20"/>
    <s v="Data Platform"/>
    <s v="Trading calendar"/>
    <s v="NSE holidays/special sessions"/>
    <x v="1"/>
    <s v="P0"/>
    <x v="0"/>
    <x v="0"/>
    <m/>
    <s v="2025-26 holidays + budget sessions"/>
    <s v="Add next year's holidays each December"/>
    <s v="utils/trading_calendar.py"/>
    <n v="7132017"/>
    <m/>
    <m/>
    <m/>
    <m/>
    <d v="2026-09-24T00:00:00"/>
    <m/>
  </r>
  <r>
    <n v="4"/>
    <n v="0"/>
    <x v="0"/>
    <s v="TA-01"/>
    <s v="Technical Analysis"/>
    <s v="Core indicators"/>
    <s v="RSI; MACD; EMA; SMA; ATR; ADX; Bollinger"/>
    <x v="0"/>
    <s v="P0"/>
    <x v="0"/>
    <x v="0"/>
    <m/>
    <s v="Computed and stored; MACD fixed and normalised"/>
    <s v="Maintain"/>
    <s v="data/technical.py"/>
    <s v="a7d92a7; bbd0540"/>
    <m/>
    <m/>
    <m/>
    <m/>
    <d v="2026-09-24T00:00:00"/>
    <m/>
  </r>
  <r>
    <n v="5"/>
    <n v="0"/>
    <x v="0"/>
    <s v="TA-02"/>
    <s v="Technical Analysis"/>
    <s v="Extended oscillators"/>
    <s v="Stoch; Williams %R; CCI; OBV; relative volume"/>
    <x v="0"/>
    <s v="P1"/>
    <x v="0"/>
    <x v="1"/>
    <m/>
    <s v="Computed and stored"/>
    <s v="Maintain"/>
    <s v="data/technical.py"/>
    <s v="technical.py:47-54"/>
    <m/>
    <m/>
    <m/>
    <m/>
    <d v="2026-09-24T00:00:00"/>
    <m/>
  </r>
  <r>
    <n v="6"/>
    <n v="0"/>
    <x v="0"/>
    <s v="TA-05"/>
    <s v="Technical Analysis"/>
    <s v="Fibonacci"/>
    <s v="Retracement levels"/>
    <x v="0"/>
    <s v="P1"/>
    <x v="0"/>
    <x v="1"/>
    <m/>
    <s v="52-week 23.6/38.2/50/61.8 levels"/>
    <s v="Optional: swing-anchored levels"/>
    <s v="data/technical.py"/>
    <s v="technical.py:262-268"/>
    <m/>
    <m/>
    <m/>
    <m/>
    <d v="2026-09-24T00:00:00"/>
    <m/>
  </r>
  <r>
    <n v="7"/>
    <n v="0"/>
    <x v="0"/>
    <s v="TA-07"/>
    <s v="Technical Analysis"/>
    <s v="Trend features"/>
    <s v="Crosses; 200DMA; gap %"/>
    <x v="0"/>
    <s v="P1"/>
    <x v="0"/>
    <x v="1"/>
    <m/>
    <s v="Computed and stored"/>
    <s v="Maintain"/>
    <s v="data/technical.py"/>
    <s v="technical.py:291"/>
    <m/>
    <m/>
    <m/>
    <m/>
    <d v="2026-09-24T00:00:00"/>
    <m/>
  </r>
  <r>
    <n v="8"/>
    <n v="0"/>
    <x v="0"/>
    <s v="TA-08"/>
    <s v="Technical Analysis"/>
    <s v="Relative strength"/>
    <s v="RS vs NIFTY"/>
    <x v="0"/>
    <s v="P1"/>
    <x v="0"/>
    <x v="1"/>
    <m/>
    <s v="20-day RS with date-matched benchmark"/>
    <s v="Sector-relative RS later (TA-08b in Phase 2 if wanted)"/>
    <s v="scores/engine.py"/>
    <s v="8dd04fb"/>
    <m/>
    <m/>
    <m/>
    <m/>
    <d v="2026-09-24T00:00:00"/>
    <m/>
  </r>
  <r>
    <n v="9"/>
    <n v="0"/>
    <x v="0"/>
    <s v="SC-03"/>
    <s v="Alpha/Factor Engine"/>
    <s v="RRI"/>
    <s v="Recovery &amp; Rebound Index per QRH"/>
    <x v="0"/>
    <s v="P0"/>
    <x v="0"/>
    <x v="2"/>
    <m/>
    <s v="Implemented"/>
    <s v="Institutional input improves with SC-14"/>
    <s v="scores/engine.py"/>
    <s v="engine.py:260"/>
    <m/>
    <m/>
    <m/>
    <m/>
    <d v="2026-09-24T00:00:00"/>
    <m/>
  </r>
  <r>
    <n v="10"/>
    <n v="0"/>
    <x v="0"/>
    <s v="SC-04"/>
    <s v="Alpha/Factor Engine"/>
    <s v="MRI"/>
    <s v="Momentum Reversal Index per QRH"/>
    <x v="0"/>
    <s v="P0"/>
    <x v="0"/>
    <x v="3"/>
    <m/>
    <s v="Implemented; MACD corrected"/>
    <s v="Maintain"/>
    <s v="scores/engine.py"/>
    <s v="engine.py:241"/>
    <m/>
    <m/>
    <m/>
    <m/>
    <d v="2026-09-24T00:00:00"/>
    <m/>
  </r>
  <r>
    <n v="11"/>
    <n v="0"/>
    <x v="0"/>
    <s v="SC-07"/>
    <s v="Alpha/Factor Engine"/>
    <s v="ZPI"/>
    <s v="Zone Probability Index per QRH"/>
    <x v="0"/>
    <s v="P0"/>
    <x v="0"/>
    <x v="1"/>
    <m/>
    <s v="Implemented + delivery component"/>
    <s v="Maintain"/>
    <s v="scores/engine.py"/>
    <s v="969f570"/>
    <m/>
    <m/>
    <m/>
    <m/>
    <d v="2026-09-24T00:00:00"/>
    <m/>
  </r>
  <r>
    <n v="12"/>
    <n v="0"/>
    <x v="0"/>
    <s v="SC-10"/>
    <s v="Alpha/Factor Engine"/>
    <s v="Portfolio Health score"/>
    <s v="PHS formula"/>
    <x v="0"/>
    <s v="P1"/>
    <x v="0"/>
    <x v="2"/>
    <m/>
    <s v="Implemented"/>
    <s v="Correlation/drawdown inputs come with PF-09 and PF-13"/>
    <s v="scores/portfolio_health.py"/>
    <s v="portfolio_health.py"/>
    <m/>
    <m/>
    <m/>
    <m/>
    <d v="2026-09-24T00:00:00"/>
    <m/>
  </r>
  <r>
    <n v="13"/>
    <n v="0"/>
    <x v="0"/>
    <s v="PF-05"/>
    <s v="Portfolio"/>
    <s v="Portfolio health"/>
    <s v="Portfolio Health score + panel"/>
    <x v="0"/>
    <s v="P0"/>
    <x v="0"/>
    <x v="2"/>
    <m/>
    <s v="Implemented + dashboard"/>
    <s v="Maintain"/>
    <s v="scores/portfolio_health.py"/>
    <s v="portfolio_health.py"/>
    <m/>
    <m/>
    <m/>
    <m/>
    <d v="2026-09-24T00:00:00"/>
    <m/>
  </r>
  <r>
    <n v="14"/>
    <n v="0"/>
    <x v="0"/>
    <s v="SC-11"/>
    <s v="Alpha/Factor Engine"/>
    <s v="Trade of the Day"/>
    <s v="TOD formula"/>
    <x v="0"/>
    <s v="P1"/>
    <x v="0"/>
    <x v="1"/>
    <m/>
    <s v="Implemented; one TOD per session"/>
    <s v="Maintain"/>
    <s v="scores/engine.py"/>
    <s v="d74e595"/>
    <m/>
    <m/>
    <m/>
    <m/>
    <d v="2026-09-24T00:00:00"/>
    <m/>
  </r>
  <r>
    <n v="15"/>
    <n v="0"/>
    <x v="0"/>
    <s v="SC-15"/>
    <s v="Alpha/Factor Engine"/>
    <s v="Overall ATIP score + rank"/>
    <s v="Master ranking"/>
    <x v="0"/>
    <s v="P0"/>
    <x v="0"/>
    <x v="1"/>
    <m/>
    <s v="Implemented; rank stored"/>
    <s v="Maintain"/>
    <s v="scores/engine.py"/>
    <s v="engine.py:508"/>
    <m/>
    <m/>
    <m/>
    <m/>
    <d v="2026-09-24T00:00:00"/>
    <m/>
  </r>
  <r>
    <n v="16"/>
    <n v="0"/>
    <x v="0"/>
    <s v="SC-17"/>
    <s v="Alpha/Factor Engine"/>
    <s v="Configurable weights"/>
    <s v="Weights in configuration"/>
    <x v="0"/>
    <s v="P1"/>
    <x v="0"/>
    <x v="1"/>
    <m/>
    <s v="weight_config table"/>
    <s v="Regime-specific rows used by ML-05"/>
    <s v="db/schema.py"/>
    <s v="seed_weights"/>
    <m/>
    <m/>
    <m/>
    <m/>
    <d v="2026-09-24T00:00:00"/>
    <m/>
  </r>
  <r>
    <n v="17"/>
    <n v="0"/>
    <x v="0"/>
    <s v="SG-02"/>
    <s v="Signal Engine"/>
    <s v="Signal validation"/>
    <s v="Data gates before signals"/>
    <x v="1"/>
    <s v="P0"/>
    <x v="0"/>
    <x v="2"/>
    <m/>
    <s v="EOD coverage guard; FII/DII hold"/>
    <s v="Maintain"/>
    <s v="pipeline/scheduler.py"/>
    <s v="a4a508b; 969f570"/>
    <m/>
    <m/>
    <m/>
    <m/>
    <d v="2026-09-24T00:00:00"/>
    <m/>
  </r>
  <r>
    <n v="18"/>
    <n v="0"/>
    <x v="0"/>
    <s v="SG-03"/>
    <s v="Signal Engine"/>
    <s v="Signal ranking"/>
    <s v="Top-25 lists"/>
    <x v="0"/>
    <s v="P0"/>
    <x v="0"/>
    <x v="3"/>
    <m/>
    <s v="Implemented"/>
    <s v="Maintain"/>
    <s v="scores/engine.py"/>
    <s v="dashboard lists"/>
    <m/>
    <m/>
    <m/>
    <m/>
    <d v="2026-09-24T00:00:00"/>
    <m/>
  </r>
  <r>
    <n v="19"/>
    <n v="0"/>
    <x v="0"/>
    <s v="SG-05"/>
    <s v="Signal Engine"/>
    <s v="Trade plan"/>
    <s v="Entry/stop/targets/R:R/horizon"/>
    <x v="0"/>
    <s v="P0"/>
    <x v="0"/>
    <x v="2"/>
    <m/>
    <s v="Implemented"/>
    <s v="Maintain"/>
    <s v="scores/predictions.py"/>
    <s v="predictions.py"/>
    <m/>
    <m/>
    <m/>
    <m/>
    <d v="2026-09-24T00:00:00"/>
    <m/>
  </r>
  <r>
    <n v="20"/>
    <n v="0"/>
    <x v="0"/>
    <s v="SG-06"/>
    <s v="Signal Engine"/>
    <s v="Outcome tracking"/>
    <s v="Hit rate and P&amp;L per signal"/>
    <x v="0"/>
    <s v="P0"/>
    <x v="0"/>
    <x v="1"/>
    <m/>
    <s v="Implemented; corrected denominator"/>
    <s v="Maintain"/>
    <s v="scores/signal_log.py"/>
    <s v="cc8ce46"/>
    <m/>
    <m/>
    <m/>
    <m/>
    <d v="2026-09-24T00:00:00"/>
    <m/>
  </r>
  <r>
    <n v="21"/>
    <n v="0"/>
    <x v="0"/>
    <s v="SG-07"/>
    <s v="Signal Engine"/>
    <s v="Signal provenance log"/>
    <s v="Immutable signal log"/>
    <x v="1"/>
    <s v="P1"/>
    <x v="0"/>
    <x v="1"/>
    <m/>
    <s v="Append-only signal_log"/>
    <s v="Maintain"/>
    <s v="scores/signal_log.py"/>
    <s v="signal_log.py"/>
    <m/>
    <m/>
    <m/>
    <m/>
    <d v="2026-09-24T00:00:00"/>
    <m/>
  </r>
  <r>
    <n v="22"/>
    <n v="0"/>
    <x v="0"/>
    <s v="BT-01"/>
    <s v="Backtesting"/>
    <s v="Historical backtest"/>
    <s v="Bar-level backtest"/>
    <x v="0"/>
    <s v="P0"/>
    <x v="0"/>
    <x v="1"/>
    <m/>
    <s v="3 bar engines"/>
    <s v="Extended by Phase 2 items"/>
    <s v="scores/backtest.py; strategy/backtest_*.py"/>
    <s v="—"/>
    <m/>
    <m/>
    <m/>
    <m/>
    <d v="2026-09-24T00:00:00"/>
    <m/>
  </r>
  <r>
    <n v="23"/>
    <n v="0"/>
    <x v="0"/>
    <s v="BT-10"/>
    <s v="Backtesting"/>
    <s v="Win rate / profit factor / expectancy"/>
    <s v="Trade metrics"/>
    <x v="0"/>
    <s v="P0"/>
    <x v="0"/>
    <x v="0"/>
    <m/>
    <s v="Implemented"/>
    <s v="Maintain"/>
    <s v="strategy/backtest_aggressive.py"/>
    <s v="metrics()"/>
    <m/>
    <m/>
    <m/>
    <m/>
    <d v="2026-09-24T00:00:00"/>
    <m/>
  </r>
  <r>
    <n v="24"/>
    <n v="0"/>
    <x v="0"/>
    <s v="RK-02"/>
    <s v="Risk Management"/>
    <s v="Max order value"/>
    <s v="Pre-trade limit"/>
    <x v="2"/>
    <s v="P0"/>
    <x v="0"/>
    <x v="0"/>
    <m/>
    <s v="Enforced when configured"/>
    <s v="Set values in config.json"/>
    <s v="orders/risk.py"/>
    <s v="71bff1b"/>
    <m/>
    <m/>
    <m/>
    <m/>
    <d v="2026-09-24T00:00:00"/>
    <m/>
  </r>
  <r>
    <n v="25"/>
    <n v="0"/>
    <x v="0"/>
    <s v="RK-03"/>
    <s v="Risk Management"/>
    <s v="Max orders per day"/>
    <s v="Pre-trade limit"/>
    <x v="2"/>
    <s v="P0"/>
    <x v="0"/>
    <x v="0"/>
    <m/>
    <s v="Enforced when configured"/>
    <s v="Set values in config.json"/>
    <s v="orders/risk.py"/>
    <s v="71bff1b"/>
    <m/>
    <m/>
    <m/>
    <m/>
    <d v="2026-09-24T00:00:00"/>
    <m/>
  </r>
  <r>
    <n v="26"/>
    <n v="0"/>
    <x v="0"/>
    <s v="RK-04"/>
    <s v="Risk Management"/>
    <s v="Max open positions"/>
    <s v="Position limit"/>
    <x v="2"/>
    <s v="P0"/>
    <x v="0"/>
    <x v="0"/>
    <m/>
    <s v="Enforced when configured"/>
    <s v="Set values in config.json"/>
    <s v="orders/risk.py"/>
    <s v="71bff1b"/>
    <m/>
    <m/>
    <m/>
    <m/>
    <d v="2026-09-24T00:00:00"/>
    <m/>
  </r>
  <r>
    <n v="27"/>
    <n v="0"/>
    <x v="0"/>
    <s v="RK-05"/>
    <s v="Risk Management"/>
    <s v="Symbol exposure limit"/>
    <s v="Concentration limit"/>
    <x v="2"/>
    <s v="P0"/>
    <x v="0"/>
    <x v="0"/>
    <m/>
    <s v="Enforced when configured"/>
    <s v="Set values in config.json"/>
    <s v="orders/risk.py"/>
    <s v="71bff1b"/>
    <m/>
    <m/>
    <m/>
    <m/>
    <d v="2026-09-24T00:00:00"/>
    <m/>
  </r>
  <r>
    <n v="28"/>
    <n v="0"/>
    <x v="0"/>
    <s v="RK-14"/>
    <s v="Risk Management"/>
    <s v="Crash-risk gating"/>
    <s v="CRI gate"/>
    <x v="0"/>
    <s v="P0"/>
    <x v="0"/>
    <x v="2"/>
    <m/>
    <s v="SELL_CRI_DANGER + strategy use"/>
    <s v="Maintain"/>
    <s v="scores/engine.py"/>
    <s v="—"/>
    <m/>
    <m/>
    <m/>
    <m/>
    <d v="2026-09-24T00:00:00"/>
    <m/>
  </r>
  <r>
    <n v="29"/>
    <n v="0"/>
    <x v="0"/>
    <s v="EX-03"/>
    <s v="Execution"/>
    <s v="Position management"/>
    <s v="Persistent idempotent positions"/>
    <x v="1"/>
    <s v="P0"/>
    <x v="0"/>
    <x v="2"/>
    <m/>
    <s v="reserve -&gt; place -&gt; apply"/>
    <s v="Maintain"/>
    <s v="strategy/positions.py"/>
    <s v="—"/>
    <m/>
    <m/>
    <m/>
    <m/>
    <d v="2026-09-24T00:00:00"/>
    <m/>
  </r>
  <r>
    <n v="30"/>
    <n v="0"/>
    <x v="0"/>
    <s v="EX-04"/>
    <s v="Execution"/>
    <s v="Entry/exit"/>
    <s v="Automated entry and exit"/>
    <x v="0"/>
    <s v="P0"/>
    <x v="0"/>
    <x v="4"/>
    <m/>
    <s v="strategy/live.py"/>
    <s v="Maintain"/>
    <s v="strategy/live.py"/>
    <s v="—"/>
    <m/>
    <m/>
    <m/>
    <m/>
    <d v="2026-09-24T00:00:00"/>
    <m/>
  </r>
  <r>
    <n v="31"/>
    <n v="0"/>
    <x v="0"/>
    <s v="EX-05"/>
    <s v="Execution"/>
    <s v="Stop loss"/>
    <s v="Hard/ATR stops"/>
    <x v="0"/>
    <s v="P0"/>
    <x v="0"/>
    <x v="2"/>
    <m/>
    <s v="Implemented"/>
    <s v="Maintain"/>
    <s v="strategy/aggressive.py"/>
    <s v="—"/>
    <m/>
    <m/>
    <m/>
    <m/>
    <d v="2026-09-24T00:00:00"/>
    <m/>
  </r>
  <r>
    <n v="32"/>
    <n v="0"/>
    <x v="0"/>
    <s v="EX-06"/>
    <s v="Execution"/>
    <s v="Trailing stop"/>
    <s v="ATR trailing stop"/>
    <x v="2"/>
    <s v="P0"/>
    <x v="0"/>
    <x v="1"/>
    <m/>
    <s v="Implemented (4.0x ATR)"/>
    <s v="Maintain"/>
    <s v="strategy/aggressive.py"/>
    <s v="aggressive.py:57-66"/>
    <m/>
    <m/>
    <m/>
    <m/>
    <d v="2026-09-24T00:00:00"/>
    <m/>
  </r>
  <r>
    <n v="33"/>
    <n v="0"/>
    <x v="0"/>
    <s v="EX-07"/>
    <s v="Execution"/>
    <s v="Profit booking / partial exit"/>
    <s v="Checkpoints and partial exits"/>
    <x v="0"/>
    <s v="P1"/>
    <x v="0"/>
    <x v="4"/>
    <m/>
    <s v="Implemented in aggressive strategy"/>
    <s v="Maintain"/>
    <s v="strategy/aggressive.py"/>
    <s v="—"/>
    <m/>
    <m/>
    <m/>
    <m/>
    <d v="2026-09-24T00:00:00"/>
    <m/>
  </r>
  <r>
    <n v="34"/>
    <n v="0"/>
    <x v="0"/>
    <s v="EX-13"/>
    <s v="Execution"/>
    <s v="Paper trading"/>
    <s v="Virtual trading (FR-PT)"/>
    <x v="0"/>
    <s v="P0"/>
    <x v="0"/>
    <x v="3"/>
    <m/>
    <s v="Paper broker with slippage"/>
    <s v="Maintain"/>
    <s v="orders/paper.py"/>
    <s v="tests/test_paper_broker.py"/>
    <m/>
    <m/>
    <m/>
    <m/>
    <d v="2026-09-24T00:00:00"/>
    <m/>
  </r>
  <r>
    <n v="35"/>
    <n v="0"/>
    <x v="0"/>
    <s v="EX-14"/>
    <s v="Execution"/>
    <s v="Live gating"/>
    <s v="PAPER default; explicit confirm"/>
    <x v="0"/>
    <s v="P0"/>
    <x v="0"/>
    <x v="3"/>
    <m/>
    <s v="Implemented"/>
    <s v="Maintain"/>
    <s v="orders/environment.py"/>
    <s v="environment.py:37-57"/>
    <m/>
    <m/>
    <m/>
    <m/>
    <d v="2026-09-24T00:00:00"/>
    <m/>
  </r>
  <r>
    <n v="36"/>
    <n v="0"/>
    <x v="0"/>
    <s v="BR-01"/>
    <s v="Broker Integration"/>
    <s v="Dhan"/>
    <s v="Data + orders"/>
    <x v="0"/>
    <s v="P0"/>
    <x v="0"/>
    <x v="1"/>
    <m/>
    <s v="dhanhq integration"/>
    <s v="Maintain"/>
    <s v="data/dhan.py; orders/broker.py"/>
    <s v="—"/>
    <m/>
    <m/>
    <m/>
    <m/>
    <d v="2026-09-24T00:00:00"/>
    <m/>
  </r>
  <r>
    <n v="37"/>
    <n v="0"/>
    <x v="0"/>
    <s v="BR-03"/>
    <s v="Broker Integration"/>
    <s v="Broker abstraction"/>
    <s v="Routed execution clients"/>
    <x v="2"/>
    <s v="P0"/>
    <x v="0"/>
    <x v="2"/>
    <m/>
    <s v="PAPER/SANDBOX/LIVE routing"/>
    <s v="Becomes multi-broker interface in ENT-15"/>
    <s v="orders/environment.py"/>
    <s v="—"/>
    <m/>
    <m/>
    <m/>
    <m/>
    <d v="2026-09-24T00:00:00"/>
    <m/>
  </r>
  <r>
    <n v="38"/>
    <n v="0"/>
    <x v="0"/>
    <s v="DB-01"/>
    <s v="Dashboard"/>
    <s v="Market Health panel"/>
    <s v="Dashboard section"/>
    <x v="0"/>
    <s v="P0"/>
    <x v="0"/>
    <x v="1"/>
    <m/>
    <s v="Rendered"/>
    <s v="Maintain"/>
    <s v="dashboard/server.py"/>
    <s v="—"/>
    <m/>
    <m/>
    <m/>
    <m/>
    <d v="2026-09-24T00:00:00"/>
    <m/>
  </r>
  <r>
    <n v="39"/>
    <n v="0"/>
    <x v="0"/>
    <s v="DB-02"/>
    <s v="Dashboard"/>
    <s v="Global Markets panel"/>
    <s v="Dashboard section"/>
    <x v="0"/>
    <s v="P1"/>
    <x v="0"/>
    <x v="2"/>
    <m/>
    <s v="Rendered; snapshot bug fixed"/>
    <s v="Maintain"/>
    <s v="dashboard/server.py"/>
    <s v="db7f506"/>
    <m/>
    <m/>
    <m/>
    <m/>
    <d v="2026-09-24T00:00:00"/>
    <m/>
  </r>
  <r>
    <n v="40"/>
    <n v="0"/>
    <x v="0"/>
    <s v="DB-03"/>
    <s v="Dashboard"/>
    <s v="FII/DII panel"/>
    <s v="Dashboard section"/>
    <x v="0"/>
    <s v="P1"/>
    <x v="0"/>
    <x v="2"/>
    <m/>
    <s v="Rendered"/>
    <s v="Maintain"/>
    <s v="dashboard/server.py"/>
    <s v="—"/>
    <m/>
    <m/>
    <m/>
    <m/>
    <d v="2026-09-24T00:00:00"/>
    <m/>
  </r>
  <r>
    <n v="41"/>
    <n v="0"/>
    <x v="0"/>
    <s v="DB-05"/>
    <s v="Dashboard"/>
    <s v="Sector Rotation"/>
    <s v="Dashboard section"/>
    <x v="0"/>
    <s v="P1"/>
    <x v="0"/>
    <x v="4"/>
    <m/>
    <s v="Heatmap rendered"/>
    <s v="Maintain"/>
    <s v="dashboard/server.py"/>
    <s v="server.py:489"/>
    <m/>
    <m/>
    <m/>
    <m/>
    <d v="2026-09-24T00:00:00"/>
    <m/>
  </r>
  <r>
    <n v="42"/>
    <n v="0"/>
    <x v="0"/>
    <s v="DB-07"/>
    <s v="Dashboard"/>
    <s v="Top 25 VPI"/>
    <s v="Dashboard section"/>
    <x v="0"/>
    <s v="P0"/>
    <x v="0"/>
    <x v="3"/>
    <m/>
    <s v="Rendered"/>
    <s v="Maintain"/>
    <s v="dashboard/server.py"/>
    <s v="/api/scores"/>
    <m/>
    <m/>
    <m/>
    <m/>
    <d v="2026-09-24T00:00:00"/>
    <m/>
  </r>
  <r>
    <n v="43"/>
    <n v="0"/>
    <x v="0"/>
    <s v="DB-08"/>
    <s v="Dashboard"/>
    <s v="Buy Zone (ZPI)"/>
    <s v="Dashboard section"/>
    <x v="0"/>
    <s v="P0"/>
    <x v="0"/>
    <x v="3"/>
    <m/>
    <s v="Rendered"/>
    <s v="Maintain"/>
    <s v="dashboard/server.py"/>
    <s v="—"/>
    <m/>
    <m/>
    <m/>
    <m/>
    <d v="2026-09-24T00:00:00"/>
    <m/>
  </r>
  <r>
    <n v="44"/>
    <n v="0"/>
    <x v="0"/>
    <s v="DB-09"/>
    <s v="Dashboard"/>
    <s v="Recovery (RRI)"/>
    <s v="Dashboard section"/>
    <x v="0"/>
    <s v="P1"/>
    <x v="0"/>
    <x v="1"/>
    <m/>
    <s v="Rendered"/>
    <s v="Maintain"/>
    <s v="dashboard/server.py"/>
    <s v="—"/>
    <m/>
    <m/>
    <m/>
    <m/>
    <d v="2026-09-24T00:00:00"/>
    <m/>
  </r>
  <r>
    <n v="45"/>
    <n v="0"/>
    <x v="0"/>
    <s v="DB-10"/>
    <s v="Dashboard"/>
    <s v="Momentum Reversal (MRI)"/>
    <s v="Dashboard section"/>
    <x v="0"/>
    <s v="P1"/>
    <x v="0"/>
    <x v="1"/>
    <m/>
    <s v="Rendered"/>
    <s v="Maintain"/>
    <s v="dashboard/server.py"/>
    <s v="—"/>
    <m/>
    <m/>
    <m/>
    <m/>
    <d v="2026-09-24T00:00:00"/>
    <m/>
  </r>
  <r>
    <n v="46"/>
    <n v="0"/>
    <x v="0"/>
    <s v="DB-12"/>
    <s v="Dashboard"/>
    <s v="Portfolio Health panel"/>
    <s v="Dashboard section"/>
    <x v="0"/>
    <s v="P0"/>
    <x v="0"/>
    <x v="1"/>
    <m/>
    <s v="Rendered"/>
    <s v="Maintain"/>
    <s v="dashboard/server.py"/>
    <s v="/api/portfolio"/>
    <m/>
    <m/>
    <m/>
    <m/>
    <d v="2026-09-24T00:00:00"/>
    <m/>
  </r>
  <r>
    <n v="47"/>
    <n v="0"/>
    <x v="0"/>
    <s v="DB-13"/>
    <s v="Dashboard"/>
    <s v="Trade of the Day"/>
    <s v="Dashboard section"/>
    <x v="0"/>
    <s v="P0"/>
    <x v="0"/>
    <x v="3"/>
    <m/>
    <s v="Rendered"/>
    <s v="Maintain"/>
    <s v="dashboard/server.py"/>
    <s v="/api/tod"/>
    <m/>
    <m/>
    <m/>
    <m/>
    <d v="2026-09-24T00:00:00"/>
    <m/>
  </r>
  <r>
    <n v="48"/>
    <n v="0"/>
    <x v="0"/>
    <s v="DB-15"/>
    <s v="Dashboard"/>
    <s v="Orders/signals panel"/>
    <s v="Orders tab"/>
    <x v="1"/>
    <s v="P1"/>
    <x v="0"/>
    <x v="4"/>
    <m/>
    <s v="Rendered with PAPER status"/>
    <s v="Maintain"/>
    <s v="dashboard/server.py"/>
    <s v="/api/orders"/>
    <m/>
    <m/>
    <m/>
    <m/>
    <d v="2026-09-24T00:00:00"/>
    <m/>
  </r>
  <r>
    <n v="49"/>
    <n v="0"/>
    <x v="0"/>
    <s v="DB-19"/>
    <s v="Dashboard"/>
    <s v="Hosted read-only snapshot"/>
    <s v="bkesari viewer"/>
    <x v="1"/>
    <s v="P1"/>
    <x v="0"/>
    <x v="1"/>
    <m/>
    <s v="publish_snapshot.py"/>
    <s v="Superseded by ENT-08 web app"/>
    <s v="publish_snapshot.py"/>
    <s v="—"/>
    <m/>
    <m/>
    <m/>
    <m/>
    <d v="2026-09-24T00:00:00"/>
    <m/>
  </r>
  <r>
    <n v="50"/>
    <n v="0"/>
    <x v="0"/>
    <s v="API-01"/>
    <s v="APIs"/>
    <s v="Internal REST"/>
    <s v="Dashboard API"/>
    <x v="0"/>
    <s v="P1"/>
    <x v="0"/>
    <x v="4"/>
    <m/>
    <s v="15 FastAPI routes"/>
    <s v="Maintain"/>
    <s v="dashboard/server.py"/>
    <s v="—"/>
    <m/>
    <m/>
    <m/>
    <m/>
    <d v="2026-09-24T00:00:00"/>
    <m/>
  </r>
  <r>
    <n v="51"/>
    <n v="0"/>
    <x v="0"/>
    <s v="API-02"/>
    <s v="APIs"/>
    <s v="Local API authentication"/>
    <s v="Auth on mutating routes"/>
    <x v="0"/>
    <s v="P0"/>
    <x v="0"/>
    <x v="1"/>
    <m/>
    <s v="127.0.0.1 bind + X-ATIP-Token"/>
    <s v="Replaced by per-user auth in SEC-02"/>
    <s v="dashboard/security.py"/>
    <s v="7191c71"/>
    <m/>
    <m/>
    <m/>
    <m/>
    <d v="2026-09-24T00:00:00"/>
    <m/>
  </r>
  <r>
    <n v="52"/>
    <n v="0"/>
    <x v="0"/>
    <s v="DBS-01"/>
    <s v="Database"/>
    <s v="Schema"/>
    <s v="Operational schema"/>
    <x v="0"/>
    <s v="P1"/>
    <x v="0"/>
    <x v="2"/>
    <m/>
    <s v="19 SQLite tables"/>
    <s v="Migrations via DBS-04"/>
    <s v="db/schema.py"/>
    <s v="—"/>
    <m/>
    <m/>
    <m/>
    <m/>
    <d v="2026-09-24T00:00:00"/>
    <m/>
  </r>
  <r>
    <n v="53"/>
    <n v="0"/>
    <x v="0"/>
    <s v="DBS-02"/>
    <s v="Database"/>
    <s v="Retention/purge"/>
    <s v="Data retention"/>
    <x v="1"/>
    <s v="P2"/>
    <x v="0"/>
    <x v="4"/>
    <m/>
    <s v="db/purge.py"/>
    <s v="Maintain"/>
    <s v="db/purge.py"/>
    <s v="—"/>
    <m/>
    <m/>
    <m/>
    <m/>
    <d v="2026-09-24T00:00:00"/>
    <m/>
  </r>
  <r>
    <n v="54"/>
    <n v="0"/>
    <x v="0"/>
    <s v="SEC-01"/>
    <s v="Security"/>
    <s v="Credential handling"/>
    <s v="Secrets outside code"/>
    <x v="0"/>
    <s v="P0"/>
    <x v="0"/>
    <x v="4"/>
    <m/>
    <s v="config.json outside repo"/>
    <s v="Vault in ENT-06"/>
    <s v="atip_data/config.json"/>
    <s v="—"/>
    <m/>
    <m/>
    <m/>
    <m/>
    <d v="2026-09-24T00:00:00"/>
    <m/>
  </r>
  <r>
    <n v="55"/>
    <n v="0"/>
    <x v="0"/>
    <s v="MON-07"/>
    <s v="Monitoring"/>
    <s v="Feed health"/>
    <s v="WebSocket stall detection"/>
    <x v="1"/>
    <s v="P1"/>
    <x v="0"/>
    <x v="4"/>
    <m/>
    <s v="Implemented"/>
    <s v="Maintain"/>
    <s v="data/dhan_ws.py"/>
    <s v="b303d7a"/>
    <m/>
    <m/>
    <m/>
    <m/>
    <d v="2026-09-24T00:00:00"/>
    <m/>
  </r>
  <r>
    <n v="56"/>
    <n v="0"/>
    <x v="0"/>
    <s v="MON-08"/>
    <s v="Monitoring"/>
    <s v="Diagnostics"/>
    <s v="Diagnostic tool"/>
    <x v="1"/>
    <s v="P2"/>
    <x v="0"/>
    <x v="5"/>
    <m/>
    <s v="diagnose.py"/>
    <s v="Maintain"/>
    <s v="diagnose.py"/>
    <s v="—"/>
    <m/>
    <m/>
    <m/>
    <m/>
    <d v="2026-09-24T00:00:00"/>
    <m/>
  </r>
  <r>
    <n v="57"/>
    <n v="0"/>
    <x v="0"/>
    <s v="OPS-01"/>
    <s v="Deployment/Ops"/>
    <s v="Autostart/scheduling"/>
    <s v="Windows autostart"/>
    <x v="1"/>
    <s v="P1"/>
    <x v="0"/>
    <x v="2"/>
    <m/>
    <s v="Task Scheduler + VBS"/>
    <s v="Replaced by cloud deploy in OPS-04"/>
    <s v="start_atip.bat; ATIP_TaskScheduler.xml"/>
    <s v="—"/>
    <m/>
    <m/>
    <m/>
    <m/>
    <d v="2026-09-24T00:00:00"/>
    <m/>
  </r>
  <r>
    <n v="58"/>
    <n v="0"/>
    <x v="0"/>
    <s v="OPS-07"/>
    <s v="Deployment/Ops"/>
    <s v="Snapshot publishing"/>
    <s v="Hosted read-only view"/>
    <x v="1"/>
    <s v="P2"/>
    <x v="0"/>
    <x v="1"/>
    <m/>
    <s v="Implemented"/>
    <s v="Maintain"/>
    <s v="publish_snapshot.py"/>
    <s v="—"/>
    <m/>
    <m/>
    <m/>
    <m/>
    <d v="2026-09-24T00:00:00"/>
    <m/>
  </r>
  <r>
    <n v="59"/>
    <n v="1"/>
    <x v="1"/>
    <s v="DP-09"/>
    <s v="Data Platform"/>
    <s v="India VIX"/>
    <s v="Real VIX series as MH/MSI/CRI input"/>
    <x v="0"/>
    <s v="P0"/>
    <x v="0"/>
    <x v="6"/>
    <m/>
    <s v="Read from index snapshot with 15.0 fallback"/>
    <s v="Store daily VIX; remove silent default; flag missing"/>
    <s v="scores/engine.py; data/markets.py"/>
    <s v="engine.py:358"/>
    <m/>
    <m/>
    <m/>
    <m/>
    <d v="2026-09-24T00:00:00"/>
    <m/>
  </r>
  <r>
    <n v="60"/>
    <n v="1"/>
    <x v="1"/>
    <s v="DP-17"/>
    <s v="Data Platform"/>
    <s v="Market breadth"/>
    <s v="Advance/decline; new highs/lows"/>
    <x v="0"/>
    <s v="P0"/>
    <x v="0"/>
    <x v="7"/>
    <s v="DP-02"/>
    <s v="Breadth input frozen (25.93)"/>
    <s v="Compute A/D and 52w highs/lows from prices_daily"/>
    <s v="scores/engine.py"/>
    <s v="Phase status Tier 3"/>
    <m/>
    <m/>
    <m/>
    <m/>
    <d v="2026-09-24T00:00:00"/>
    <m/>
  </r>
  <r>
    <n v="61"/>
    <n v="1"/>
    <x v="1"/>
    <s v="SC-09"/>
    <s v="Alpha/Factor Engine"/>
    <s v="Market Health score"/>
    <s v="MH formula + regime label"/>
    <x v="0"/>
    <s v="P0"/>
    <x v="0"/>
    <x v="5"/>
    <s v="DP-09; DP-17"/>
    <s v="Implemented; breadth/VIX inputs frozen"/>
    <s v="Use real inputs; backfill market_health history"/>
    <s v="scores/engine.py"/>
    <s v="engine.py:354"/>
    <m/>
    <m/>
    <m/>
    <m/>
    <d v="2026-09-24T00:00:00"/>
    <m/>
  </r>
  <r>
    <n v="62"/>
    <n v="1"/>
    <x v="1"/>
    <s v="SC-08"/>
    <s v="Alpha/Factor Engine"/>
    <s v="ACS"/>
    <s v="AI Confidence Score"/>
    <x v="0"/>
    <s v="P0"/>
    <x v="0"/>
    <x v="8"/>
    <s v="SC-09"/>
    <s v="Implemented; accuracy query leak; NewsConfidence frozen"/>
    <s v="Bound feedback query by date; real news confidence"/>
    <s v="scores/engine.py"/>
    <s v="engine.py:389"/>
    <m/>
    <m/>
    <m/>
    <m/>
    <d v="2026-09-24T00:00:00"/>
    <m/>
  </r>
  <r>
    <n v="63"/>
    <n v="1"/>
    <x v="1"/>
    <s v="MON-01"/>
    <s v="Monitoring"/>
    <s v="Job logging"/>
    <s v="Accurate pipeline_log"/>
    <x v="1"/>
    <s v="P0"/>
    <x v="1"/>
    <x v="9"/>
    <m/>
    <s v="Swallows exceptions; no end time; SUCCESS with 0 rows"/>
    <s v="Record failures, end time, row counts"/>
    <s v="pipeline/scheduler.py"/>
    <s v="Phase status Tier 2"/>
    <m/>
    <m/>
    <m/>
    <m/>
    <d v="2026-09-24T00:00:00"/>
    <m/>
  </r>
  <r>
    <n v="64"/>
    <n v="1"/>
    <x v="1"/>
    <s v="MON-02"/>
    <s v="Monitoring"/>
    <s v="Stalled-job detection"/>
    <s v="Heartbeat per job"/>
    <x v="1"/>
    <s v="P0"/>
    <x v="2"/>
    <x v="10"/>
    <s v="MON-01"/>
    <m/>
    <s v="Expected-run table + missed-run check"/>
    <s v="pipeline/scheduler.py"/>
    <s v="news job silent 11 days"/>
    <m/>
    <m/>
    <m/>
    <m/>
    <d v="2026-09-24T00:00:00"/>
    <m/>
  </r>
  <r>
    <n v="65"/>
    <n v="1"/>
    <x v="1"/>
    <s v="MON-03"/>
    <s v="Monitoring"/>
    <s v="Failure alerting"/>
    <s v="Alerts on failure"/>
    <x v="0"/>
    <s v="P0"/>
    <x v="1"/>
    <x v="7"/>
    <s v="MON-02"/>
    <s v="Telegram path exists; unconfigured"/>
    <s v="Configure Telegram; alert on failure/stall"/>
    <s v="alerts/telegram.py"/>
    <s v="run_job"/>
    <m/>
    <m/>
    <m/>
    <m/>
    <d v="2026-09-24T00:00:00"/>
    <m/>
  </r>
  <r>
    <n v="66"/>
    <n v="1"/>
    <x v="1"/>
    <s v="DB-14"/>
    <s v="Dashboard"/>
    <s v="Alerts / morning brief"/>
    <s v="Telegram + 08:30 digest"/>
    <x v="0"/>
    <s v="P1"/>
    <x v="1"/>
    <x v="9"/>
    <s v="MON-03"/>
    <s v="Digest scheduled; channel unconfigured"/>
    <s v="Deliver digest; verify daily"/>
    <s v="alerts/telegram.py"/>
    <s v="scheduler.py:1032"/>
    <m/>
    <m/>
    <m/>
    <m/>
    <d v="2026-09-24T00:00:00"/>
    <m/>
  </r>
  <r>
    <n v="67"/>
    <n v="1"/>
    <x v="1"/>
    <s v="RK-15"/>
    <s v="Risk Management"/>
    <s v="Risk alerts"/>
    <s v="Alerts on risk events"/>
    <x v="0"/>
    <s v="P1"/>
    <x v="1"/>
    <x v="6"/>
    <s v="MON-03"/>
    <s v="CRI alerts coded; channel unconfigured"/>
    <s v="Alert on halt, limit breach, CRI spike"/>
    <s v="alerts/telegram.py"/>
    <s v="—"/>
    <m/>
    <m/>
    <m/>
    <m/>
    <d v="2026-09-24T00:00:00"/>
    <m/>
  </r>
  <r>
    <n v="68"/>
    <n v="1"/>
    <x v="1"/>
    <s v="MON-06"/>
    <s v="Monitoring"/>
    <s v="Log rotation"/>
    <s v="Rotating logs"/>
    <x v="1"/>
    <s v="P1"/>
    <x v="2"/>
    <x v="11"/>
    <m/>
    <m/>
    <s v="RotatingFileHandler"/>
    <s v="main.py"/>
    <s v="Phase status Tier 2"/>
    <m/>
    <m/>
    <m/>
    <m/>
    <d v="2026-09-24T00:00:00"/>
    <m/>
  </r>
  <r>
    <n v="69"/>
    <n v="1"/>
    <x v="1"/>
    <s v="DBS-06"/>
    <s v="Database"/>
    <s v="Timestamp consistency"/>
    <s v="One timezone convention"/>
    <x v="1"/>
    <s v="P1"/>
    <x v="1"/>
    <x v="7"/>
    <m/>
    <s v="IST and UTC mixed in same rows"/>
    <s v="Normalise; fix news recency"/>
    <s v="db/schema.py; data/news.py"/>
    <s v="Phase status Tier 2"/>
    <m/>
    <m/>
    <m/>
    <m/>
    <d v="2026-09-24T00:00:00"/>
    <m/>
  </r>
  <r>
    <n v="70"/>
    <n v="1"/>
    <x v="1"/>
    <s v="NS-01"/>
    <s v="News/Sentiment"/>
    <s v="News ingestion"/>
    <s v="Reliable daily news feed"/>
    <x v="0"/>
    <s v="P0"/>
    <x v="1"/>
    <x v="9"/>
    <s v="MON-02"/>
    <s v="~1,249 rows; job stalled as of 09-21"/>
    <s v="Fix job; add second source; health check"/>
    <s v="data/news.py"/>
    <s v="Phase status Tier 2"/>
    <m/>
    <m/>
    <m/>
    <m/>
    <d v="2026-09-24T00:00:00"/>
    <m/>
  </r>
  <r>
    <n v="71"/>
    <n v="1"/>
    <x v="1"/>
    <s v="OPS-03"/>
    <s v="Deployment/Ops"/>
    <s v="Install/setup"/>
    <s v="Reproducible install"/>
    <x v="1"/>
    <s v="P1"/>
    <x v="1"/>
    <x v="9"/>
    <m/>
    <s v="setup.py lists pandas-ta; omits ta"/>
    <s v="Fix requirements/setup; pin versions"/>
    <s v="setup.py; requirements.txt"/>
    <s v="Phase status Tier 3"/>
    <m/>
    <m/>
    <m/>
    <m/>
    <d v="2026-09-24T00:00:00"/>
    <m/>
  </r>
  <r>
    <n v="72"/>
    <n v="1"/>
    <x v="1"/>
    <s v="EX-01"/>
    <s v="Execution"/>
    <s v="Order management tests"/>
    <s v="Tested order rule engine"/>
    <x v="0"/>
    <s v="P0"/>
    <x v="0"/>
    <x v="4"/>
    <m/>
    <s v="orders/rules.py (944 lines) without tests"/>
    <s v="Unit tests for rules.py"/>
    <s v="orders/rules.py; tests/"/>
    <s v="Phase status Phase 11"/>
    <m/>
    <m/>
    <m/>
    <m/>
    <d v="2026-09-24T00:00:00"/>
    <m/>
  </r>
  <r>
    <n v="73"/>
    <n v="1"/>
    <x v="1"/>
    <s v="OPS-02"/>
    <s v="Deployment/Ops"/>
    <s v="CI + end-to-end test"/>
    <s v="Data-&gt;score-&gt;signal-&gt;order-&gt;P&amp;L test"/>
    <x v="1"/>
    <s v="P0"/>
    <x v="0"/>
    <x v="4"/>
    <s v="EX-01"/>
    <s v="GitHub Actions; ~270 test functions; no E2E"/>
    <s v="Add E2E pipeline test"/>
    <s v=".github/workflows/tests.yml; tests/"/>
    <s v="—"/>
    <m/>
    <m/>
    <m/>
    <m/>
    <d v="2026-09-24T00:00:00"/>
    <m/>
  </r>
  <r>
    <n v="74"/>
    <n v="1"/>
    <x v="1"/>
    <s v="DP-15"/>
    <s v="Data Platform"/>
    <s v="Fundamentals"/>
    <s v="ROE; ROCE; EPS; PEG; FCF; D/E"/>
    <x v="0"/>
    <s v="P0"/>
    <x v="1"/>
    <x v="7"/>
    <m/>
    <s v="Screener.in fetcher; ingestion disabled"/>
    <s v="Your decision; enable; quarterly store; no 50.0 default"/>
    <s v="data/fundamentals.py; pipeline/scheduler.py"/>
    <s v="FUNDAMENTALS_ENABLED=False"/>
    <m/>
    <m/>
    <m/>
    <m/>
    <d v="2026-09-24T00:00:00"/>
    <m/>
  </r>
  <r>
    <n v="75"/>
    <n v="1"/>
    <x v="1"/>
    <s v="SC-13"/>
    <s v="Alpha/Factor Engine"/>
    <s v="Fundamental Score"/>
    <s v="FS formula per concept document"/>
    <x v="0"/>
    <s v="P0"/>
    <x v="1"/>
    <x v="12"/>
    <s v="DP-15"/>
    <s v="Default 50 when unparsed"/>
    <s v="Implement FS formula on real data"/>
    <s v="data/fundamentals.py"/>
    <s v="—"/>
    <m/>
    <m/>
    <m/>
    <m/>
    <d v="2026-09-24T00:00:00"/>
    <m/>
  </r>
  <r>
    <n v="76"/>
    <n v="1"/>
    <x v="1"/>
    <s v="SC-02"/>
    <s v="Alpha/Factor Engine"/>
    <s v="SPI"/>
    <s v="Stability Profit Index per QRH"/>
    <x v="0"/>
    <s v="P0"/>
    <x v="1"/>
    <x v="7"/>
    <s v="SC-13"/>
    <m/>
    <s v="Implement SPI formula separately from FS"/>
    <s v="scores/engine.py"/>
    <s v="engine.py:503"/>
    <m/>
    <m/>
    <m/>
    <m/>
    <d v="2026-09-24T00:00:00"/>
    <m/>
  </r>
  <r>
    <n v="77"/>
    <n v="1"/>
    <x v="1"/>
    <s v="SC-05"/>
    <s v="Alpha/Factor Engine"/>
    <s v="CRI debt input"/>
    <s v="CRI per QRH incl. Debt"/>
    <x v="0"/>
    <s v="P1"/>
    <x v="0"/>
    <x v="2"/>
    <s v="DP-15"/>
    <s v="Implemented; Debt input missing"/>
    <s v="Feed Debt/Equity"/>
    <s v="scores/engine.py"/>
    <s v="engine.py:276"/>
    <m/>
    <m/>
    <m/>
    <m/>
    <d v="2026-09-24T00:00:00"/>
    <m/>
  </r>
  <r>
    <n v="78"/>
    <n v="1"/>
    <x v="1"/>
    <s v="SC-01"/>
    <s v="Alpha/Factor Engine"/>
    <s v="VPI inputs"/>
    <s v="VPI per QRH"/>
    <x v="0"/>
    <s v="P1"/>
    <x v="0"/>
    <x v="1"/>
    <s v="DP-15"/>
    <s v="Implemented; FG/IS inputs weak"/>
    <s v="Real Fundamental Growth input"/>
    <s v="scores/engine.py"/>
    <s v="engine.py:222"/>
    <m/>
    <m/>
    <m/>
    <m/>
    <d v="2026-09-24T00:00:00"/>
    <m/>
  </r>
  <r>
    <n v="79"/>
    <n v="1"/>
    <x v="1"/>
    <s v="PF-01"/>
    <s v="Portfolio"/>
    <s v="Portfolio ingestion"/>
    <s v="Zerodha/Dhan holdings sync"/>
    <x v="0"/>
    <s v="P0"/>
    <x v="1"/>
    <x v="13"/>
    <m/>
    <s v="Kite holdings sync; Dhan holdings"/>
    <s v="Scheduled reliable sync + token handling"/>
    <s v="portfolio/zerodha.py; data/dhan.py"/>
    <s v="—"/>
    <m/>
    <m/>
    <m/>
    <m/>
    <d v="2026-09-24T00:00:00"/>
    <m/>
  </r>
  <r>
    <n v="80"/>
    <n v="1"/>
    <x v="1"/>
    <s v="BR-04"/>
    <s v="Broker Integration"/>
    <s v="Portfolio sync schedule"/>
    <s v="Real-time/daily sync (FR-BI-002)"/>
    <x v="0"/>
    <s v="P0"/>
    <x v="1"/>
    <x v="9"/>
    <s v="PF-01"/>
    <s v="Partial"/>
    <s v="Scheduled sync with alert on failure"/>
    <s v="pipeline/scheduler.py"/>
    <s v="—"/>
    <m/>
    <m/>
    <m/>
    <m/>
    <d v="2026-09-24T00:00:00"/>
    <m/>
  </r>
  <r>
    <n v="81"/>
    <n v="1"/>
    <x v="1"/>
    <s v="PF-02"/>
    <s v="Portfolio"/>
    <s v="Holdings &amp; P&amp;L"/>
    <s v="Holdings and P&amp;L"/>
    <x v="0"/>
    <s v="P0"/>
    <x v="1"/>
    <x v="13"/>
    <s v="PF-01"/>
    <s v="portfolio_holdings with pnl"/>
    <s v="Realised + unrealised P&amp;L"/>
    <s v="portfolio/"/>
    <s v="zerodha.py:64"/>
    <m/>
    <m/>
    <m/>
    <m/>
    <d v="2026-09-24T00:00:00"/>
    <m/>
  </r>
  <r>
    <n v="82"/>
    <n v="1"/>
    <x v="1"/>
    <s v="PF-13"/>
    <s v="Portfolio"/>
    <s v="Daily P&amp;L series"/>
    <s v="Stored daily P&amp;L (paper + live)"/>
    <x v="1"/>
    <s v="P0"/>
    <x v="2"/>
    <x v="11"/>
    <s v="PF-02"/>
    <s v="None; realized_pnl cumulative only"/>
    <s v="Daily P&amp;L table; EOD job"/>
    <s v="orders/paper.py"/>
    <s v="orders/risk.py docstring"/>
    <m/>
    <m/>
    <m/>
    <m/>
    <d v="2026-09-24T00:00:00"/>
    <m/>
  </r>
  <r>
    <n v="83"/>
    <n v="1"/>
    <x v="1"/>
    <s v="RK-13"/>
    <s v="Risk Management"/>
    <s v="Risk-based sizing wired to orders"/>
    <s v="FR-RM-001 position size"/>
    <x v="0"/>
    <s v="P0"/>
    <x v="1"/>
    <x v="14"/>
    <m/>
    <s v="position_size_pct computed; not read"/>
    <s v="Use size in order path"/>
    <s v="scores/predictions.py; orders/rules.py"/>
    <s v="predictions.py:84"/>
    <m/>
    <m/>
    <m/>
    <m/>
    <d v="2026-09-24T00:00:00"/>
    <m/>
  </r>
  <r>
    <n v="84"/>
    <n v="1"/>
    <x v="1"/>
    <s v="RK-07"/>
    <s v="Risk Management"/>
    <s v="Daily loss limit"/>
    <s v="Circuit breaker"/>
    <x v="2"/>
    <s v="P0"/>
    <x v="2"/>
    <x v="11"/>
    <s v="PF-13"/>
    <s v="Deliberately absent"/>
    <s v="Limit on PF-13; auto-halt"/>
    <s v="orders/risk.py"/>
    <s v="—"/>
    <m/>
    <m/>
    <m/>
    <m/>
    <d v="2026-09-24T00:00:00"/>
    <m/>
  </r>
  <r>
    <n v="85"/>
    <n v="1"/>
    <x v="1"/>
    <s v="RK-08"/>
    <s v="Risk Management"/>
    <s v="Drawdown limit"/>
    <s v="Drawdown halt"/>
    <x v="2"/>
    <s v="P0"/>
    <x v="2"/>
    <x v="11"/>
    <s v="PF-13"/>
    <m/>
    <s v="Peak-to-trough on PF-13; auto-halt"/>
    <s v="orders/risk.py"/>
    <s v="—"/>
    <m/>
    <m/>
    <m/>
    <m/>
    <d v="2026-09-24T00:00:00"/>
    <m/>
  </r>
  <r>
    <n v="86"/>
    <n v="1"/>
    <x v="1"/>
    <s v="DBS-03"/>
    <s v="Database"/>
    <s v="Backups"/>
    <s v="Automated backups"/>
    <x v="0"/>
    <s v="P1"/>
    <x v="1"/>
    <x v="6"/>
    <m/>
    <s v="Manual pre-repair backups"/>
    <s v="Nightly integrity-checked backup + retention"/>
    <s v="db/"/>
    <s v="atip_data/*.bak"/>
    <m/>
    <m/>
    <m/>
    <m/>
    <d v="2026-09-24T00:00:00"/>
    <m/>
  </r>
  <r>
    <n v="87"/>
    <n v="1"/>
    <x v="1"/>
    <s v="DP-06"/>
    <s v="Data Platform"/>
    <s v="Corporate actions open items"/>
    <s v="Split/bonus/demerger adjustment"/>
    <x v="1"/>
    <s v="P2"/>
    <x v="0"/>
    <x v="3"/>
    <m/>
    <s v="NSE CA calendar; reconciliation; volume re-base"/>
    <s v="TVSMOTOR scheme; renamed symbols"/>
    <s v="data/corporate_actions.py"/>
    <s v="4416ac7"/>
    <m/>
    <m/>
    <m/>
    <m/>
    <d v="2026-09-24T00:00:00"/>
    <m/>
  </r>
  <r>
    <n v="88"/>
    <n v="1"/>
    <x v="1"/>
    <s v="TA-06"/>
    <s v="Technical Analysis"/>
    <s v="Support/Resistance"/>
    <s v="S/R levels (ZPI/RRI inputs)"/>
    <x v="0"/>
    <s v="P1"/>
    <x v="3"/>
    <x v="7"/>
    <m/>
    <s v="Not verified statically"/>
    <s v="Confirm what ZPI/RRI use; implement pivot-based S/R"/>
    <s v="scores/engine.py"/>
    <s v="—"/>
    <m/>
    <m/>
    <m/>
    <m/>
    <d v="2026-09-24T00:00:00"/>
    <m/>
  </r>
  <r>
    <n v="89"/>
    <n v="1"/>
    <x v="1"/>
    <s v="DP-19"/>
    <s v="Data Platform"/>
    <s v="Data quality layer"/>
    <s v="Validation + DataQualityScore"/>
    <x v="2"/>
    <s v="P1"/>
    <x v="1"/>
    <x v="15"/>
    <s v="MON-01"/>
    <s v="Coverage/identical-bar/OHLC guards; no DQS"/>
    <s v="DQS table; outlier and timestamp checks"/>
    <s v="pipeline/scheduler.py"/>
    <s v="ba31981; 8526a9b"/>
    <m/>
    <m/>
    <m/>
    <m/>
    <d v="2026-09-24T00:00:00"/>
    <m/>
  </r>
  <r>
    <n v="90"/>
    <n v="2"/>
    <x v="2"/>
    <s v="DBS-04"/>
    <s v="Database"/>
    <s v="Schema migrations"/>
    <s v="Versioned migrations"/>
    <x v="1"/>
    <s v="P0"/>
    <x v="1"/>
    <x v="12"/>
    <m/>
    <s v="CREATE IF NOT EXISTS only"/>
    <s v="Migration mechanism before new tables"/>
    <s v="db/schema.py"/>
    <s v="—"/>
    <m/>
    <m/>
    <m/>
    <m/>
    <d v="2026-09-24T00:00:00"/>
    <m/>
  </r>
  <r>
    <n v="91"/>
    <n v="2"/>
    <x v="2"/>
    <s v="DP-01"/>
    <s v="Data Platform"/>
    <s v="Live market data"/>
    <s v="Live quotes + index feed (FR-MD-001)"/>
    <x v="0"/>
    <s v="P1"/>
    <x v="1"/>
    <x v="13"/>
    <m/>
    <s v="Index WebSocket 09:00-15:45 + quote cache; stock tick feed never run"/>
    <s v="Stock-level live feed in production; failover"/>
    <s v="data/dhan_ws.py; data/dhan.py"/>
    <s v="dhan_ws.py session window/backoff"/>
    <m/>
    <m/>
    <m/>
    <m/>
    <d v="2026-09-24T00:00:00"/>
    <m/>
  </r>
  <r>
    <n v="92"/>
    <n v="2"/>
    <x v="2"/>
    <s v="DP-03"/>
    <s v="Data Platform"/>
    <s v="Intraday bars"/>
    <s v="Stored 1/5/15-min bars"/>
    <x v="0"/>
    <s v="P0"/>
    <x v="1"/>
    <x v="12"/>
    <s v="DBS-04"/>
    <s v="Fetched every 30 min; nothing stored"/>
    <s v="Persist bars; retention policy"/>
    <s v="data/dhan.py; pipeline/scheduler.py"/>
    <s v="—"/>
    <m/>
    <m/>
    <m/>
    <m/>
    <d v="2026-09-24T00:00:00"/>
    <m/>
  </r>
  <r>
    <n v="93"/>
    <n v="2"/>
    <x v="2"/>
    <s v="TA-03"/>
    <s v="Technical Analysis"/>
    <s v="VWAP"/>
    <s v="VWAP (TS weight 0.08)"/>
    <x v="0"/>
    <s v="P1"/>
    <x v="2"/>
    <x v="10"/>
    <s v="DP-03"/>
    <s v="Weight seeded; never computed"/>
    <s v="Compute from intraday bars"/>
    <s v="data/technical.py"/>
    <s v="schema.py:322"/>
    <m/>
    <m/>
    <m/>
    <m/>
    <d v="2026-09-24T00:00:00"/>
    <m/>
  </r>
  <r>
    <n v="94"/>
    <n v="2"/>
    <x v="2"/>
    <s v="SC-12"/>
    <s v="Alpha/Factor Engine"/>
    <s v="Technical Score VWAP input"/>
    <s v="TS formula complete"/>
    <x v="0"/>
    <s v="P1"/>
    <x v="0"/>
    <x v="2"/>
    <s v="TA-03"/>
    <s v="Implemented; VWAP weight dead"/>
    <s v="Include VWAP"/>
    <s v="data/technical.py"/>
    <s v="technical.py:307"/>
    <m/>
    <m/>
    <m/>
    <m/>
    <d v="2026-09-24T00:00:00"/>
    <m/>
  </r>
  <r>
    <n v="95"/>
    <n v="2"/>
    <x v="2"/>
    <s v="TA-04"/>
    <s v="Technical Analysis"/>
    <s v="Volume Profile"/>
    <s v="Volume by price; POC"/>
    <x v="0"/>
    <s v="P1"/>
    <x v="2"/>
    <x v="11"/>
    <s v="DP-03"/>
    <m/>
    <s v="Implement on intraday bars"/>
    <s v="data/technical.py"/>
    <s v="—"/>
    <m/>
    <m/>
    <m/>
    <m/>
    <d v="2026-09-24T00:00:00"/>
    <m/>
  </r>
  <r>
    <n v="96"/>
    <n v="2"/>
    <x v="2"/>
    <s v="TA-10"/>
    <s v="Technical Analysis"/>
    <s v="Multi-timeframe analysis"/>
    <s v="Daily/weekly/intraday confluence"/>
    <x v="0"/>
    <s v="P2"/>
    <x v="2"/>
    <x v="10"/>
    <s v="DP-03"/>
    <s v="Daily only"/>
    <s v="Resample timeframes"/>
    <s v="data/technical.py"/>
    <s v="—"/>
    <m/>
    <m/>
    <m/>
    <m/>
    <d v="2026-09-24T00:00:00"/>
    <m/>
  </r>
  <r>
    <n v="97"/>
    <n v="2"/>
    <x v="2"/>
    <s v="TA-12"/>
    <s v="Technical Analysis"/>
    <s v="Full-history indicator panel"/>
    <s v="Indicators for every history date"/>
    <x v="2"/>
    <s v="P0"/>
    <x v="1"/>
    <x v="7"/>
    <m/>
    <s v="~15 sessions deep"/>
    <s v="Backfill 426 sessions"/>
    <s v="data/technical.py"/>
    <s v="Phase status Phase 3"/>
    <m/>
    <m/>
    <m/>
    <m/>
    <d v="2026-09-24T00:00:00"/>
    <m/>
  </r>
  <r>
    <n v="98"/>
    <n v="2"/>
    <x v="2"/>
    <s v="AF-03"/>
    <s v="Alpha/Factor Engine"/>
    <s v="Factor panel persistence"/>
    <s v="(date, symbol, factor, value)"/>
    <x v="2"/>
    <s v="P0"/>
    <x v="1"/>
    <x v="7"/>
    <s v="TA-12"/>
    <s v="Composites stored; sub-components discarded"/>
    <s v="Persist sub-factors"/>
    <s v="scores/engine.py"/>
    <s v="—"/>
    <m/>
    <m/>
    <m/>
    <m/>
    <d v="2026-09-24T00:00:00"/>
    <m/>
  </r>
  <r>
    <n v="99"/>
    <n v="2"/>
    <x v="2"/>
    <s v="AF-04"/>
    <s v="Alpha/Factor Engine"/>
    <s v="Standalone factor families"/>
    <s v="Momentum; MR; trend; vol; volume; liquidity"/>
    <x v="2"/>
    <s v="P0"/>
    <x v="1"/>
    <x v="9"/>
    <s v="AF-03"/>
    <s v="Embedded inside composites"/>
    <s v="Extract as standalone factors"/>
    <s v="scores/engine.py"/>
    <s v="—"/>
    <m/>
    <m/>
    <m/>
    <m/>
    <d v="2026-09-24T00:00:00"/>
    <m/>
  </r>
  <r>
    <n v="100"/>
    <n v="2"/>
    <x v="2"/>
    <s v="AF-02"/>
    <s v="Alpha/Factor Engine"/>
    <s v="Normalisation contract"/>
    <s v="z-score; robust; winsorise; percentile"/>
    <x v="2"/>
    <s v="P0"/>
    <x v="1"/>
    <x v="16"/>
    <s v="AF-03"/>
    <s v="Min-max only"/>
    <s v="Per-factor normalisation config"/>
    <s v="scores/engine.py"/>
    <s v="—"/>
    <m/>
    <m/>
    <m/>
    <m/>
    <d v="2026-09-24T00:00:00"/>
    <m/>
  </r>
  <r>
    <n v="101"/>
    <n v="2"/>
    <x v="2"/>
    <s v="AF-01"/>
    <s v="Alpha/Factor Engine"/>
    <s v="Factor library/registry"/>
    <s v="ID; formula; lookback; version"/>
    <x v="2"/>
    <s v="P0"/>
    <x v="2"/>
    <x v="10"/>
    <s v="AF-03"/>
    <m/>
    <s v="Registry table + API"/>
    <s v="—"/>
    <s v="—"/>
    <m/>
    <m/>
    <m/>
    <m/>
    <d v="2026-09-24T00:00:00"/>
    <m/>
  </r>
  <r>
    <n v="102"/>
    <n v="2"/>
    <x v="2"/>
    <s v="SC-18"/>
    <s v="Alpha/Factor Engine"/>
    <s v="Formula registry/versioning"/>
    <s v="Versioned score formulas"/>
    <x v="0"/>
    <s v="P1"/>
    <x v="1"/>
    <x v="14"/>
    <s v="AF-01"/>
    <s v="model_version + weights_hash on signal_log"/>
    <s v="Formula registry table"/>
    <s v="scores/signal_log.py"/>
    <s v="signal_log.py:144"/>
    <m/>
    <m/>
    <m/>
    <m/>
    <d v="2026-09-24T00:00:00"/>
    <m/>
  </r>
  <r>
    <n v="103"/>
    <n v="2"/>
    <x v="2"/>
    <s v="DBS-07"/>
    <s v="Database"/>
    <s v="Research registry tables"/>
    <s v="Factor/model/experiment tables"/>
    <x v="2"/>
    <s v="P1"/>
    <x v="2"/>
    <x v="11"/>
    <s v="DBS-04"/>
    <m/>
    <s v="Create schema"/>
    <s v="db/schema.py"/>
    <s v="—"/>
    <m/>
    <m/>
    <m/>
    <m/>
    <d v="2026-09-24T00:00:00"/>
    <m/>
  </r>
  <r>
    <n v="104"/>
    <n v="2"/>
    <x v="2"/>
    <s v="QR-01"/>
    <s v="Quant Research"/>
    <s v="Information coefficient"/>
    <s v="Rank IC; ICIR; hit-rate of IC"/>
    <x v="2"/>
    <s v="P0"/>
    <x v="2"/>
    <x v="17"/>
    <s v="AF-03"/>
    <s v="Ad hoc only"/>
    <s v="IC engine vs forward returns"/>
    <s v="—"/>
    <s v="—"/>
    <m/>
    <m/>
    <m/>
    <m/>
    <d v="2026-09-24T00:00:00"/>
    <m/>
  </r>
  <r>
    <n v="105"/>
    <n v="2"/>
    <x v="2"/>
    <s v="QR-02"/>
    <s v="Quant Research"/>
    <s v="IC decay / half-life"/>
    <s v="Decay by horizon"/>
    <x v="2"/>
    <s v="P1"/>
    <x v="2"/>
    <x v="11"/>
    <s v="QR-01"/>
    <m/>
    <s v="Implement"/>
    <s v="—"/>
    <s v="—"/>
    <m/>
    <m/>
    <m/>
    <m/>
    <d v="2026-09-24T00:00:00"/>
    <m/>
  </r>
  <r>
    <n v="106"/>
    <n v="2"/>
    <x v="2"/>
    <s v="QR-03"/>
    <s v="Quant Research"/>
    <s v="Factor correlation/redundancy"/>
    <s v="Correlation matrix"/>
    <x v="2"/>
    <s v="P1"/>
    <x v="2"/>
    <x v="11"/>
    <s v="AF-03"/>
    <m/>
    <s v="Implement"/>
    <s v="—"/>
    <s v="—"/>
    <m/>
    <m/>
    <m/>
    <m/>
    <d v="2026-09-24T00:00:00"/>
    <m/>
  </r>
  <r>
    <n v="107"/>
    <n v="2"/>
    <x v="2"/>
    <s v="QR-04"/>
    <s v="Quant Research"/>
    <s v="Statistical toolkit"/>
    <s v="Correlation; covariance; regression"/>
    <x v="2"/>
    <s v="P1"/>
    <x v="2"/>
    <x v="10"/>
    <s v="AF-03"/>
    <s v="Univariate beta only"/>
    <s v="Stats module"/>
    <s v="—"/>
    <s v="technical.py:99"/>
    <m/>
    <m/>
    <m/>
    <m/>
    <d v="2026-09-24T00:00:00"/>
    <m/>
  </r>
  <r>
    <n v="108"/>
    <n v="2"/>
    <x v="2"/>
    <s v="AF-08"/>
    <s v="Alpha/Factor Engine"/>
    <s v="Factor approval gate"/>
    <s v="Validation before production"/>
    <x v="2"/>
    <s v="P1"/>
    <x v="2"/>
    <x v="11"/>
    <s v="QR-01; QR-03"/>
    <s v="Factor enters via seed code"/>
    <s v="Gate workflow + approval record"/>
    <s v="—"/>
    <s v="—"/>
    <m/>
    <m/>
    <m/>
    <m/>
    <d v="2026-09-24T00:00:00"/>
    <m/>
  </r>
  <r>
    <n v="109"/>
    <n v="2"/>
    <x v="2"/>
    <s v="BT-16"/>
    <s v="Backtesting"/>
    <s v="Dated equity curve / run records"/>
    <s v="Run registry with dated equity"/>
    <x v="2"/>
    <s v="P0"/>
    <x v="2"/>
    <x v="10"/>
    <m/>
    <m/>
    <s v="Dated trades + equity curve + run table"/>
    <s v="strategy/; scores/backtest.py"/>
    <s v="—"/>
    <m/>
    <m/>
    <m/>
    <m/>
    <d v="2026-09-24T00:00:00"/>
    <m/>
  </r>
  <r>
    <n v="110"/>
    <n v="2"/>
    <x v="2"/>
    <s v="BT-08"/>
    <s v="Backtesting"/>
    <s v="Portfolio-level backtest"/>
    <s v="Shared capital; sizing"/>
    <x v="2"/>
    <s v="P0"/>
    <x v="2"/>
    <x v="10"/>
    <s v="BT-16"/>
    <s v="Independent per-trade notional"/>
    <s v="Portfolio simulator"/>
    <s v="—"/>
    <s v="backtest_history.py:139"/>
    <m/>
    <m/>
    <m/>
    <m/>
    <d v="2026-09-24T00:00:00"/>
    <m/>
  </r>
  <r>
    <n v="111"/>
    <n v="2"/>
    <x v="2"/>
    <s v="BT-09"/>
    <s v="Backtesting"/>
    <s v="Drawdown analysis"/>
    <s v="Max DD on dated equity"/>
    <x v="0"/>
    <s v="P0"/>
    <x v="1"/>
    <x v="7"/>
    <s v="BT-16"/>
    <s v="DD in trade order (wrong)"/>
    <s v="Compute on equity curve"/>
    <s v="strategy/"/>
    <s v="backtest_aggressive.py:206"/>
    <m/>
    <m/>
    <m/>
    <m/>
    <d v="2026-09-24T00:00:00"/>
    <m/>
  </r>
  <r>
    <n v="112"/>
    <n v="2"/>
    <x v="2"/>
    <s v="BT-11"/>
    <s v="Backtesting"/>
    <s v="Sharpe/Sortino/CAGR/Calmar"/>
    <s v="Risk-adjusted metrics"/>
    <x v="0"/>
    <s v="P0"/>
    <x v="2"/>
    <x v="11"/>
    <s v="BT-16"/>
    <m/>
    <s v="Implement"/>
    <s v="—"/>
    <s v="—"/>
    <m/>
    <m/>
    <m/>
    <m/>
    <d v="2026-09-24T00:00:00"/>
    <m/>
  </r>
  <r>
    <n v="113"/>
    <n v="2"/>
    <x v="2"/>
    <s v="BT-12"/>
    <s v="Backtesting"/>
    <s v="VaR/CVaR in backtest"/>
    <s v="Tail metrics"/>
    <x v="0"/>
    <s v="P1"/>
    <x v="2"/>
    <x v="11"/>
    <s v="BT-16"/>
    <m/>
    <s v="Implement"/>
    <s v="—"/>
    <s v="—"/>
    <m/>
    <m/>
    <m/>
    <m/>
    <d v="2026-09-24T00:00:00"/>
    <m/>
  </r>
  <r>
    <n v="114"/>
    <n v="2"/>
    <x v="2"/>
    <s v="BT-05"/>
    <s v="Backtesting"/>
    <s v="Itemised costs"/>
    <s v="Brokerage; STT; GST; stamp; SEBI fee; exchange fee"/>
    <x v="0"/>
    <s v="P0"/>
    <x v="1"/>
    <x v="15"/>
    <m/>
    <s v="Single blended cost %"/>
    <s v="Indian cost model shared by backtest and paper"/>
    <s v="strategy/"/>
    <s v="backtest_history.py:39"/>
    <m/>
    <m/>
    <m/>
    <m/>
    <d v="2026-09-24T00:00:00"/>
    <m/>
  </r>
  <r>
    <n v="115"/>
    <n v="2"/>
    <x v="2"/>
    <s v="BT-06"/>
    <s v="Backtesting"/>
    <s v="Slippage in backtest"/>
    <s v="Slippage model"/>
    <x v="0"/>
    <s v="P1"/>
    <x v="1"/>
    <x v="7"/>
    <s v="BT-05"/>
    <s v="Paper broker only"/>
    <s v="Shared slippage model"/>
    <s v="orders/paper.py"/>
    <s v="paper.py:199"/>
    <m/>
    <m/>
    <m/>
    <m/>
    <d v="2026-09-24T00:00:00"/>
    <m/>
  </r>
  <r>
    <n v="116"/>
    <n v="2"/>
    <x v="2"/>
    <s v="BT-07"/>
    <s v="Backtesting"/>
    <s v="Liquidity constraints"/>
    <s v="ADV/turnover floor + participation cap"/>
    <x v="0"/>
    <s v="P1"/>
    <x v="1"/>
    <x v="6"/>
    <m/>
    <s v="One engine has floor"/>
    <s v="All engines"/>
    <s v="scores/backtest.py"/>
    <s v="backtest.py:61"/>
    <m/>
    <m/>
    <m/>
    <m/>
    <d v="2026-09-24T00:00:00"/>
    <m/>
  </r>
  <r>
    <n v="117"/>
    <n v="2"/>
    <x v="2"/>
    <s v="DP-18"/>
    <s v="Data Platform"/>
    <s v="Survivorship-free universe"/>
    <s v="Point-in-time constituents"/>
    <x v="0"/>
    <s v="P1"/>
    <x v="0"/>
    <x v="1"/>
    <m/>
    <s v="Current NIFTY 500 download"/>
    <s v="Store constituent history"/>
    <s v="data/index_constituents.py"/>
    <s v="—"/>
    <m/>
    <m/>
    <m/>
    <m/>
    <d v="2026-09-24T00:00:00"/>
    <m/>
  </r>
  <r>
    <n v="118"/>
    <n v="2"/>
    <x v="2"/>
    <s v="BT-15"/>
    <s v="Backtesting"/>
    <s v="Bias controls"/>
    <s v="Look-ahead; survivorship"/>
    <x v="2"/>
    <s v="P1"/>
    <x v="1"/>
    <x v="7"/>
    <s v="DP-18"/>
    <s v="Look-ahead handled in 2 places"/>
    <s v="Systematic checks"/>
    <s v="—"/>
    <s v="backtest.py:163-174"/>
    <m/>
    <m/>
    <m/>
    <m/>
    <d v="2026-09-24T00:00:00"/>
    <m/>
  </r>
  <r>
    <n v="119"/>
    <n v="2"/>
    <x v="2"/>
    <s v="BT-03"/>
    <s v="Backtesting"/>
    <s v="In/out-of-sample"/>
    <s v="Split testing"/>
    <x v="0"/>
    <s v="P0"/>
    <x v="1"/>
    <x v="12"/>
    <s v="BT-16"/>
    <s v="Forward signal tracker only"/>
    <s v="Formal splits"/>
    <s v="—"/>
    <s v="—"/>
    <m/>
    <m/>
    <m/>
    <m/>
    <d v="2026-09-24T00:00:00"/>
    <m/>
  </r>
  <r>
    <n v="120"/>
    <n v="2"/>
    <x v="2"/>
    <s v="BT-02"/>
    <s v="Backtesting"/>
    <s v="Walk-forward"/>
    <s v="Rolling train/test (purged)"/>
    <x v="0"/>
    <s v="P0"/>
    <x v="2"/>
    <x v="10"/>
    <s v="BT-03"/>
    <m/>
    <s v="Implement"/>
    <s v="—"/>
    <s v="—"/>
    <m/>
    <m/>
    <m/>
    <m/>
    <d v="2026-09-24T00:00:00"/>
    <m/>
  </r>
  <r>
    <n v="121"/>
    <n v="2"/>
    <x v="2"/>
    <s v="BT-13"/>
    <s v="Backtesting"/>
    <s v="Monte Carlo"/>
    <s v="Trade shuffle/bootstrap"/>
    <x v="0"/>
    <s v="P1"/>
    <x v="2"/>
    <x v="11"/>
    <s v="BT-16"/>
    <m/>
    <s v="Implement"/>
    <s v="—"/>
    <s v="—"/>
    <m/>
    <m/>
    <m/>
    <m/>
    <d v="2026-09-24T00:00:00"/>
    <m/>
  </r>
  <r>
    <n v="122"/>
    <n v="2"/>
    <x v="2"/>
    <s v="BT-04"/>
    <s v="Backtesting"/>
    <s v="Parameter optimisation"/>
    <s v="Optimiser"/>
    <x v="0"/>
    <s v="P1"/>
    <x v="1"/>
    <x v="12"/>
    <s v="BT-02"/>
    <s v="Manual sweep"/>
    <s v="Grid/Bayesian optimiser"/>
    <s v="—"/>
    <s v="aggressive.py:57"/>
    <m/>
    <m/>
    <m/>
    <m/>
    <d v="2026-09-24T00:00:00"/>
    <m/>
  </r>
  <r>
    <n v="123"/>
    <n v="2"/>
    <x v="2"/>
    <s v="QR-11"/>
    <s v="Quant Research"/>
    <s v="Parameter sensitivity"/>
    <s v="Sensitivity analysis"/>
    <x v="0"/>
    <s v="P1"/>
    <x v="1"/>
    <x v="12"/>
    <s v="BT-04"/>
    <s v="Manual sweep"/>
    <s v="Neighbourhood analysis"/>
    <s v="strategy/aggressive.py"/>
    <s v="—"/>
    <m/>
    <m/>
    <m/>
    <m/>
    <d v="2026-09-24T00:00:00"/>
    <m/>
  </r>
  <r>
    <n v="124"/>
    <n v="2"/>
    <x v="2"/>
    <s v="BT-14"/>
    <s v="Backtesting"/>
    <s v="Robustness"/>
    <s v="Deflated Sharpe; PBO; regime testing"/>
    <x v="2"/>
    <s v="P1"/>
    <x v="2"/>
    <x v="11"/>
    <s v="BT-02"/>
    <m/>
    <s v="Implement"/>
    <s v="—"/>
    <s v="—"/>
    <m/>
    <m/>
    <m/>
    <m/>
    <d v="2026-09-24T00:00:00"/>
    <m/>
  </r>
  <r>
    <n v="125"/>
    <n v="2"/>
    <x v="2"/>
    <s v="QR-12"/>
    <s v="Quant Research"/>
    <s v="Reproducibility / experiment tracking"/>
    <s v="Seeded runs; experiment log"/>
    <x v="2"/>
    <s v="P1"/>
    <x v="2"/>
    <x v="11"/>
    <s v="DBS-07"/>
    <m/>
    <s v="Experiment store"/>
    <s v="—"/>
    <s v="—"/>
    <m/>
    <m/>
    <m/>
    <m/>
    <d v="2026-09-24T00:00:00"/>
    <m/>
  </r>
  <r>
    <n v="126"/>
    <n v="2"/>
    <x v="2"/>
    <s v="QR-07"/>
    <s v="Quant Research"/>
    <s v="Momentum/trend research"/>
    <s v="Trend strategy research"/>
    <x v="0"/>
    <s v="P1"/>
    <x v="1"/>
    <x v="7"/>
    <s v="BT-02"/>
    <s v="Aggressive exit + 3-policy backtest"/>
    <s v="Entry-side research"/>
    <s v="strategy/"/>
    <s v="backtest_history.py"/>
    <m/>
    <m/>
    <m/>
    <m/>
    <d v="2026-09-24T00:00:00"/>
    <m/>
  </r>
  <r>
    <n v="127"/>
    <n v="2"/>
    <x v="2"/>
    <s v="QR-08"/>
    <s v="Quant Research"/>
    <s v="Mean-reversion research"/>
    <s v="MR strategy research"/>
    <x v="0"/>
    <s v="P1"/>
    <x v="1"/>
    <x v="12"/>
    <s v="BT-02"/>
    <s v="RSI band inside VPI only"/>
    <s v="Standalone MR tests"/>
    <s v="scores/engine.py"/>
    <s v="—"/>
    <m/>
    <m/>
    <m/>
    <m/>
    <d v="2026-09-24T00:00:00"/>
    <m/>
  </r>
  <r>
    <n v="128"/>
    <n v="2"/>
    <x v="2"/>
    <s v="QR-13"/>
    <s v="Quant Research"/>
    <s v="Signal outcome research by regime"/>
    <s v="Hit rate by regime/ACS decile"/>
    <x v="1"/>
    <s v="P1"/>
    <x v="0"/>
    <x v="4"/>
    <s v="ML-05"/>
    <s v="success_report keyed on signal/threshold"/>
    <s v="Add regime/ACS buckets"/>
    <s v="scores/signal_log.py"/>
    <s v="signal_log.py:522"/>
    <m/>
    <m/>
    <m/>
    <m/>
    <d v="2026-09-24T00:00:00"/>
    <m/>
  </r>
  <r>
    <n v="129"/>
    <n v="2"/>
    <x v="2"/>
    <s v="TA-09"/>
    <s v="Technical Analysis"/>
    <s v="Beta 3y / rolling 60"/>
    <s v="1y; 3y; rolling-60 beta (QRH)"/>
    <x v="0"/>
    <s v="P2"/>
    <x v="1"/>
    <x v="6"/>
    <s v="TA-12"/>
    <s v="1y beta only"/>
    <s v="Add 3y and rolling beta"/>
    <s v="data/technical.py"/>
    <s v="technical.py:99"/>
    <m/>
    <m/>
    <m/>
    <m/>
    <d v="2026-09-24T00:00:00"/>
    <m/>
  </r>
  <r>
    <n v="130"/>
    <n v="2"/>
    <x v="2"/>
    <s v="SC-16"/>
    <s v="Alpha/Factor Engine"/>
    <s v="Beta Risk Index"/>
    <s v="Optional BRI (QRH)"/>
    <x v="0"/>
    <s v="P2"/>
    <x v="2"/>
    <x v="11"/>
    <s v="TA-09"/>
    <m/>
    <s v="Define + implement"/>
    <s v="—"/>
    <s v="—"/>
    <m/>
    <m/>
    <m/>
    <m/>
    <d v="2026-09-24T00:00:00"/>
    <m/>
  </r>
  <r>
    <n v="131"/>
    <n v="2"/>
    <x v="2"/>
    <s v="TA-11"/>
    <s v="Technical Analysis"/>
    <s v="Extended indicator catalogue"/>
    <s v="Ichimoku; Donchian; Keltner; SAR; MFI; CMF; HV"/>
    <x v="2"/>
    <s v="P2"/>
    <x v="2"/>
    <x v="10"/>
    <s v="TA-12"/>
    <m/>
    <s v="Implement per research workbook"/>
    <s v="data/technical.py"/>
    <s v="—"/>
    <m/>
    <m/>
    <m/>
    <m/>
    <d v="2026-09-24T00:00:00"/>
    <m/>
  </r>
  <r>
    <n v="132"/>
    <n v="2"/>
    <x v="2"/>
    <s v="DP-08"/>
    <s v="Data Platform"/>
    <s v="Derivatives data"/>
    <s v="Futures; options; OI; IV; PCR"/>
    <x v="0"/>
    <s v="P1"/>
    <x v="2"/>
    <x v="11"/>
    <s v="DBS-04"/>
    <m/>
    <s v="NSE F&amp;O bhavcopy + option chain store"/>
    <s v="—"/>
    <s v="—"/>
    <m/>
    <m/>
    <m/>
    <m/>
    <d v="2026-09-24T00:00:00"/>
    <m/>
  </r>
  <r>
    <n v="133"/>
    <n v="2"/>
    <x v="2"/>
    <s v="SC-06"/>
    <s v="Alpha/Factor Engine"/>
    <s v="MSI"/>
    <s v="Market Sentiment Index per QRH"/>
    <x v="0"/>
    <s v="P1"/>
    <x v="1"/>
    <x v="8"/>
    <s v="DP-08"/>
    <s v="Options/PCR frozen; news rule-based"/>
    <s v="Real PCR; AI news later"/>
    <s v="scores/engine.py"/>
    <s v="engine.py:374"/>
    <m/>
    <m/>
    <m/>
    <m/>
    <d v="2026-09-24T00:00:00"/>
    <m/>
  </r>
  <r>
    <n v="134"/>
    <n v="2"/>
    <x v="2"/>
    <s v="DP-10"/>
    <s v="Data Platform"/>
    <s v="FII/DII history"/>
    <s v="FII/DII time series"/>
    <x v="0"/>
    <s v="P2"/>
    <x v="0"/>
    <x v="1"/>
    <m/>
    <s v="Session flows; only 7 sessions history"/>
    <s v="Historical backfill source"/>
    <s v="data/bhavcopy.py"/>
    <s v="969f570"/>
    <m/>
    <m/>
    <m/>
    <m/>
    <d v="2026-09-24T00:00:00"/>
    <m/>
  </r>
  <r>
    <n v="135"/>
    <n v="2"/>
    <x v="2"/>
    <s v="DP-11"/>
    <s v="Data Platform"/>
    <s v="GIFT Nifty"/>
    <s v="Pre-open GIFT Nifty"/>
    <x v="0"/>
    <s v="P2"/>
    <x v="1"/>
    <x v="13"/>
    <m/>
    <s v="In index feed; shown on dashboard"/>
    <s v="Verify pre-market capture; store history"/>
    <s v="data/dhan.py"/>
    <s v="dhan.py:486"/>
    <m/>
    <m/>
    <m/>
    <m/>
    <d v="2026-09-24T00:00:00"/>
    <m/>
  </r>
  <r>
    <n v="136"/>
    <n v="2"/>
    <x v="2"/>
    <s v="DB-04"/>
    <s v="Dashboard"/>
    <s v="GIFT Nifty panel"/>
    <s v="Dashboard section"/>
    <x v="0"/>
    <s v="P2"/>
    <x v="1"/>
    <x v="13"/>
    <s v="DP-11"/>
    <s v="In index strip"/>
    <s v="Dedicated pre-open view"/>
    <s v="dashboard/server.py"/>
    <s v="—"/>
    <m/>
    <m/>
    <m/>
    <m/>
    <d v="2026-09-24T00:00:00"/>
    <m/>
  </r>
  <r>
    <n v="137"/>
    <n v="2"/>
    <x v="2"/>
    <s v="DP-12"/>
    <s v="Data Platform"/>
    <s v="Global markets"/>
    <s v="Indices; FX; commodities; yields"/>
    <x v="0"/>
    <s v="P2"/>
    <x v="1"/>
    <x v="4"/>
    <m/>
    <s v="13 yfinance tickers"/>
    <s v="Bond yields; history depth"/>
    <s v="data/markets.py"/>
    <s v="markets.py:22-26"/>
    <m/>
    <m/>
    <m/>
    <m/>
    <d v="2026-09-24T00:00:00"/>
    <m/>
  </r>
  <r>
    <n v="138"/>
    <n v="2"/>
    <x v="2"/>
    <s v="DP-13"/>
    <s v="Data Platform"/>
    <s v="Sector data"/>
    <s v="Sector classification + sector indices"/>
    <x v="0"/>
    <s v="P2"/>
    <x v="1"/>
    <x v="13"/>
    <m/>
    <s v="Industry via constituents"/>
    <s v="Sector index history; sector breadth"/>
    <s v="data/index_constituents.py"/>
    <s v="—"/>
    <m/>
    <m/>
    <m/>
    <m/>
    <d v="2026-09-24T00:00:00"/>
    <m/>
  </r>
  <r>
    <n v="139"/>
    <n v="2"/>
    <x v="2"/>
    <s v="DP-16"/>
    <s v="Data Platform"/>
    <s v="Institutional data"/>
    <s v="MF; promoter; insider; bulk/block"/>
    <x v="0"/>
    <s v="P1"/>
    <x v="1"/>
    <x v="14"/>
    <m/>
    <s v="Bulk/block only"/>
    <s v="Promoter/SAST/PIT/MF feeds"/>
    <s v="data/bhavcopy.py"/>
    <s v="bhavcopy.py:67-124"/>
    <m/>
    <m/>
    <m/>
    <m/>
    <d v="2026-09-24T00:00:00"/>
    <m/>
  </r>
  <r>
    <n v="140"/>
    <n v="2"/>
    <x v="2"/>
    <s v="SC-14"/>
    <s v="Alpha/Factor Engine"/>
    <s v="Institutional Score"/>
    <s v="INS formula"/>
    <x v="0"/>
    <s v="P1"/>
    <x v="1"/>
    <x v="6"/>
    <s v="DP-16"/>
    <s v="FII + bulk only"/>
    <s v="Add MF/promoter/insider"/>
    <s v="scores/engine.py"/>
    <s v="engine.py:188"/>
    <m/>
    <m/>
    <m/>
    <m/>
    <d v="2026-09-24T00:00:00"/>
    <m/>
  </r>
  <r>
    <n v="141"/>
    <n v="2"/>
    <x v="2"/>
    <s v="AD-03"/>
    <s v="Alternative Data"/>
    <s v="Bulk/block deal signal"/>
    <s v="Deal-flow signal"/>
    <x v="0"/>
    <s v="P2"/>
    <x v="1"/>
    <x v="6"/>
    <s v="DP-16"/>
    <s v="Feeds INS"/>
    <s v="Validate with IC"/>
    <s v="data/bhavcopy.py"/>
    <s v="bhavcopy.py:113"/>
    <m/>
    <m/>
    <m/>
    <m/>
    <d v="2026-09-24T00:00:00"/>
    <m/>
  </r>
  <r>
    <n v="142"/>
    <n v="3"/>
    <x v="3"/>
    <s v="SG-04"/>
    <s v="Signal Engine"/>
    <s v="Rich decision states"/>
    <s v="STRONG BUY..NO TRADE with reasons"/>
    <x v="2"/>
    <s v="P0"/>
    <x v="1"/>
    <x v="12"/>
    <s v="BT-02"/>
    <s v="WAIT as de-facto no-trade"/>
    <s v="Extended states + stored reasons"/>
    <s v="scores/engine.py"/>
    <s v="engine.py:499"/>
    <m/>
    <m/>
    <m/>
    <m/>
    <d v="2026-09-24T00:00:00"/>
    <m/>
  </r>
  <r>
    <n v="143"/>
    <n v="3"/>
    <x v="3"/>
    <s v="SG-01"/>
    <s v="Signal Engine"/>
    <s v="SELL calibration"/>
    <s v="BUY/SELL/HOLD/WAIT all reachable"/>
    <x v="0"/>
    <s v="P0"/>
    <x v="0"/>
    <x v="4"/>
    <s v="BT-02"/>
    <s v="SELL never fired"/>
    <s v="Backtest-based SELL thresholds"/>
    <s v="scores/engine.py"/>
    <s v="determine_signal"/>
    <m/>
    <m/>
    <m/>
    <m/>
    <d v="2026-09-24T00:00:00"/>
    <m/>
  </r>
  <r>
    <n v="144"/>
    <n v="3"/>
    <x v="3"/>
    <s v="SE-01"/>
    <s v="Strategy Engine"/>
    <s v="Strategy library"/>
    <s v="Multiple strategies (FR-SB-004)"/>
    <x v="0"/>
    <s v="P0"/>
    <x v="1"/>
    <x v="12"/>
    <s v="BT-16"/>
    <s v="One strategy + order rules"/>
    <s v="Strategy interface + registry"/>
    <s v="strategy/"/>
    <s v="—"/>
    <m/>
    <m/>
    <m/>
    <m/>
    <d v="2026-09-24T00:00:00"/>
    <m/>
  </r>
  <r>
    <n v="145"/>
    <n v="3"/>
    <x v="3"/>
    <s v="SE-02"/>
    <s v="Strategy Engine"/>
    <s v="Strategy parameters"/>
    <s v="Parameter management"/>
    <x v="0"/>
    <s v="P0"/>
    <x v="1"/>
    <x v="15"/>
    <s v="SE-01"/>
    <s v="Aggressive params; order_rules"/>
    <s v="Param store per strategy with versions"/>
    <s v="strategy/; orders/rules.py"/>
    <s v="—"/>
    <m/>
    <m/>
    <m/>
    <m/>
    <d v="2026-09-24T00:00:00"/>
    <m/>
  </r>
  <r>
    <n v="146"/>
    <n v="3"/>
    <x v="3"/>
    <s v="SE-03"/>
    <s v="Strategy Engine"/>
    <s v="Rule-based strategies"/>
    <s v="Rule engine"/>
    <x v="0"/>
    <s v="P1"/>
    <x v="1"/>
    <x v="9"/>
    <s v="SE-01"/>
    <s v="orders/rules.py rule engine"/>
    <s v="Generic rule definition format"/>
    <s v="orders/rules.py"/>
    <s v="—"/>
    <m/>
    <m/>
    <m/>
    <m/>
    <d v="2026-09-24T00:00:00"/>
    <m/>
  </r>
  <r>
    <n v="147"/>
    <n v="3"/>
    <x v="3"/>
    <s v="SE-06"/>
    <s v="Strategy Engine"/>
    <s v="Multi-factor strategy"/>
    <s v="Composite-score entries"/>
    <x v="0"/>
    <s v="P1"/>
    <x v="1"/>
    <x v="6"/>
    <s v="SE-01; QR-01"/>
    <s v="BUY from ATIP composite"/>
    <s v="IC-weighted multi-factor strategy"/>
    <s v="scores/engine.py"/>
    <s v="engine.py:435"/>
    <m/>
    <m/>
    <m/>
    <m/>
    <d v="2026-09-24T00:00:00"/>
    <m/>
  </r>
  <r>
    <n v="148"/>
    <n v="3"/>
    <x v="3"/>
    <s v="SE-04"/>
    <s v="Strategy Engine"/>
    <s v="Quant strategies"/>
    <s v="Factor/stat strategies"/>
    <x v="2"/>
    <s v="P1"/>
    <x v="2"/>
    <x v="10"/>
    <s v="SE-01; QR-01"/>
    <m/>
    <s v="Implement first quant strategies"/>
    <s v="—"/>
    <s v="—"/>
    <m/>
    <m/>
    <m/>
    <m/>
    <d v="2026-09-24T00:00:00"/>
    <m/>
  </r>
  <r>
    <n v="149"/>
    <n v="3"/>
    <x v="3"/>
    <s v="SE-09"/>
    <s v="Strategy Engine"/>
    <s v="Strategy lifecycle"/>
    <s v="Idea -&gt; research -&gt; paper -&gt; live -&gt; retired"/>
    <x v="2"/>
    <s v="P1"/>
    <x v="2"/>
    <x v="10"/>
    <s v="SE-01"/>
    <m/>
    <s v="State machine + gates"/>
    <s v="—"/>
    <s v="strategy_event 3 rows"/>
    <m/>
    <m/>
    <m/>
    <m/>
    <d v="2026-09-24T00:00:00"/>
    <m/>
  </r>
  <r>
    <n v="150"/>
    <n v="3"/>
    <x v="3"/>
    <s v="SE-11"/>
    <s v="Strategy Engine"/>
    <s v="Strategy health"/>
    <s v="Rolling Sharpe/DD per strategy"/>
    <x v="2"/>
    <s v="P1"/>
    <x v="2"/>
    <x v="11"/>
    <s v="SE-09; BT-16"/>
    <m/>
    <s v="Health scoring + alerts"/>
    <s v="—"/>
    <s v="—"/>
    <m/>
    <m/>
    <m/>
    <m/>
    <d v="2026-09-24T00:00:00"/>
    <m/>
  </r>
  <r>
    <n v="151"/>
    <n v="3"/>
    <x v="3"/>
    <s v="SE-07"/>
    <s v="Strategy Engine"/>
    <s v="Strategy combination/ranking/selection"/>
    <s v="Allocator across strategies"/>
    <x v="2"/>
    <s v="P1"/>
    <x v="2"/>
    <x v="10"/>
    <s v="SE-11"/>
    <m/>
    <s v="Allocator"/>
    <s v="—"/>
    <s v="—"/>
    <m/>
    <m/>
    <m/>
    <m/>
    <d v="2026-09-24T00:00:00"/>
    <m/>
  </r>
  <r>
    <n v="152"/>
    <n v="3"/>
    <x v="3"/>
    <s v="SE-08"/>
    <s v="Strategy Engine"/>
    <s v="Regime-aware selection"/>
    <s v="Regime switches strategies"/>
    <x v="2"/>
    <s v="P2"/>
    <x v="1"/>
    <x v="16"/>
    <s v="SE-07; ML-05"/>
    <s v="Regime gates only"/>
    <s v="Regime-conditional allocation"/>
    <s v="scores/engine.py"/>
    <s v="—"/>
    <m/>
    <m/>
    <m/>
    <m/>
    <d v="2026-09-24T00:00:00"/>
    <m/>
  </r>
  <r>
    <n v="153"/>
    <n v="3"/>
    <x v="3"/>
    <s v="SG-08"/>
    <s v="Signal Engine"/>
    <s v="Intraday scans"/>
    <s v="Midday/pre-close scans on real data"/>
    <x v="1"/>
    <s v="P2"/>
    <x v="1"/>
    <x v="13"/>
    <s v="DP-03"/>
    <s v="Scheduled 12:30 and 14:45"/>
    <s v="Use stored intraday bars"/>
    <s v="pipeline/scheduler.py"/>
    <s v="scheduler.py:1048"/>
    <m/>
    <m/>
    <m/>
    <m/>
    <d v="2026-09-24T00:00:00"/>
    <m/>
  </r>
  <r>
    <n v="154"/>
    <n v="3"/>
    <x v="3"/>
    <s v="DB-11"/>
    <s v="Dashboard"/>
    <s v="Crash Risk + Top 25 SPI/MSI lists"/>
    <s v="Daily top-25 lists per concept document"/>
    <x v="0"/>
    <s v="P1"/>
    <x v="1"/>
    <x v="6"/>
    <m/>
    <s v="CRI per-stock column only"/>
    <s v="Dedicated lists"/>
    <s v="dashboard/server.py"/>
    <s v="—"/>
    <m/>
    <m/>
    <m/>
    <m/>
    <d v="2026-09-24T00:00:00"/>
    <m/>
  </r>
  <r>
    <n v="155"/>
    <n v="3"/>
    <x v="3"/>
    <s v="DB-16"/>
    <s v="Dashboard"/>
    <s v="Strategy performance panel"/>
    <s v="Dashboard section"/>
    <x v="0"/>
    <s v="P1"/>
    <x v="2"/>
    <x v="17"/>
    <s v="SE-11"/>
    <m/>
    <s v="Panel"/>
    <s v="dashboard/server.py"/>
    <s v="—"/>
    <m/>
    <m/>
    <m/>
    <m/>
    <d v="2026-09-24T00:00:00"/>
    <m/>
  </r>
  <r>
    <n v="156"/>
    <n v="4"/>
    <x v="4"/>
    <s v="ML-13"/>
    <s v="AI/ML"/>
    <s v="Labels/targets"/>
    <s v="Outcome labels for training"/>
    <x v="0"/>
    <s v="P0"/>
    <x v="1"/>
    <x v="6"/>
    <s v="AF-03"/>
    <s v="predictions + accuracy_tracker"/>
    <s v="Label store with horizons"/>
    <s v="scores/"/>
    <s v="—"/>
    <m/>
    <m/>
    <m/>
    <m/>
    <d v="2026-09-24T00:00:00"/>
    <m/>
  </r>
  <r>
    <n v="157"/>
    <n v="4"/>
    <x v="4"/>
    <s v="ML-07"/>
    <s v="AI/ML"/>
    <s v="Feature selection"/>
    <s v="Automated selection"/>
    <x v="2"/>
    <s v="P1"/>
    <x v="2"/>
    <x v="11"/>
    <s v="ML-13; QR-01"/>
    <m/>
    <s v="Implement"/>
    <s v="—"/>
    <s v="—"/>
    <m/>
    <m/>
    <m/>
    <m/>
    <d v="2026-09-24T00:00:00"/>
    <m/>
  </r>
  <r>
    <n v="158"/>
    <n v="4"/>
    <x v="4"/>
    <s v="ML-08"/>
    <s v="AI/ML"/>
    <s v="Model validation"/>
    <s v="Purged CV; AUC; calibration"/>
    <x v="0"/>
    <s v="P0"/>
    <x v="2"/>
    <x v="11"/>
    <s v="ML-13; BT-02"/>
    <m/>
    <s v="Validation framework"/>
    <s v="—"/>
    <s v="—"/>
    <m/>
    <m/>
    <m/>
    <m/>
    <d v="2026-09-24T00:00:00"/>
    <m/>
  </r>
  <r>
    <n v="159"/>
    <n v="4"/>
    <x v="4"/>
    <s v="ML-01"/>
    <s v="AI/ML"/>
    <s v="Supervised ML"/>
    <s v="Classification/regression models"/>
    <x v="0"/>
    <s v="P0"/>
    <x v="2"/>
    <x v="11"/>
    <s v="ML-08"/>
    <s v="None; no ML library"/>
    <s v="First model (e.g. gradient boosting)"/>
    <s v="—"/>
    <s v="grep sklearn = 0"/>
    <m/>
    <m/>
    <m/>
    <m/>
    <d v="2026-09-24T00:00:00"/>
    <m/>
  </r>
  <r>
    <n v="160"/>
    <n v="4"/>
    <x v="4"/>
    <s v="ML-12"/>
    <s v="AI/ML"/>
    <s v="Model registry/versioning"/>
    <s v="FR-ML-002"/>
    <x v="0"/>
    <s v="P0"/>
    <x v="1"/>
    <x v="16"/>
    <s v="ML-01; DBS-07"/>
    <s v="Signal provenance only"/>
    <s v="Registry"/>
    <s v="scores/signal_log.py"/>
    <s v="—"/>
    <m/>
    <m/>
    <m/>
    <m/>
    <d v="2026-09-24T00:00:00"/>
    <m/>
  </r>
  <r>
    <n v="161"/>
    <n v="4"/>
    <x v="4"/>
    <s v="ML-11"/>
    <s v="AI/ML"/>
    <s v="Ensemble models"/>
    <s v="Ensembles"/>
    <x v="2"/>
    <s v="P1"/>
    <x v="2"/>
    <x v="11"/>
    <s v="ML-01"/>
    <m/>
    <s v="Implement"/>
    <s v="—"/>
    <s v="—"/>
    <m/>
    <m/>
    <m/>
    <m/>
    <d v="2026-09-24T00:00:00"/>
    <m/>
  </r>
  <r>
    <n v="162"/>
    <n v="4"/>
    <x v="4"/>
    <s v="ML-09"/>
    <s v="AI/ML"/>
    <s v="Model monitoring/drift"/>
    <s v="Drift alerts (FR-ML-001)"/>
    <x v="0"/>
    <s v="P1"/>
    <x v="2"/>
    <x v="11"/>
    <s v="ML-12"/>
    <m/>
    <s v="Implement"/>
    <s v="—"/>
    <s v="—"/>
    <m/>
    <m/>
    <m/>
    <m/>
    <d v="2026-09-24T00:00:00"/>
    <m/>
  </r>
  <r>
    <n v="163"/>
    <n v="4"/>
    <x v="4"/>
    <s v="ML-10"/>
    <s v="AI/ML"/>
    <s v="Explainability"/>
    <s v="FR-AI-003"/>
    <x v="0"/>
    <s v="P1"/>
    <x v="1"/>
    <x v="6"/>
    <s v="ML-01"/>
    <s v="top_factor_1..3"/>
    <s v="Model attribution"/>
    <s v="scores/engine.py"/>
    <s v="—"/>
    <m/>
    <m/>
    <m/>
    <m/>
    <d v="2026-09-24T00:00:00"/>
    <m/>
  </r>
  <r>
    <n v="164"/>
    <n v="4"/>
    <x v="4"/>
    <s v="ML-05"/>
    <s v="AI/ML"/>
    <s v="Regime detection"/>
    <s v="Model-based regime + probability"/>
    <x v="0"/>
    <s v="P0"/>
    <x v="1"/>
    <x v="7"/>
    <s v="SC-09"/>
    <s v="5-way threshold on MH"/>
    <s v="HMM/GMM; regime-conditional weights"/>
    <s v="scores/engine.py"/>
    <s v="compute_mh"/>
    <m/>
    <m/>
    <m/>
    <m/>
    <d v="2026-09-24T00:00:00"/>
    <m/>
  </r>
  <r>
    <n v="165"/>
    <n v="4"/>
    <x v="4"/>
    <s v="ML-03"/>
    <s v="AI/ML"/>
    <s v="Unsupervised learning"/>
    <s v="Clustering"/>
    <x v="0"/>
    <s v="P2"/>
    <x v="2"/>
    <x v="11"/>
    <s v="AF-03"/>
    <m/>
    <s v="Implement"/>
    <s v="—"/>
    <s v="—"/>
    <m/>
    <m/>
    <m/>
    <m/>
    <d v="2026-09-24T00:00:00"/>
    <m/>
  </r>
  <r>
    <n v="166"/>
    <n v="4"/>
    <x v="4"/>
    <s v="ML-06"/>
    <s v="AI/ML"/>
    <s v="Anomaly detection"/>
    <s v="Data/market anomalies"/>
    <x v="0"/>
    <s v="P2"/>
    <x v="2"/>
    <x v="11"/>
    <s v="DP-19"/>
    <m/>
    <s v="Implement"/>
    <s v="—"/>
    <s v="—"/>
    <m/>
    <m/>
    <m/>
    <m/>
    <d v="2026-09-24T00:00:00"/>
    <m/>
  </r>
  <r>
    <n v="167"/>
    <n v="4"/>
    <x v="4"/>
    <s v="SE-05"/>
    <s v="Strategy Engine"/>
    <s v="AI-driven strategies"/>
    <s v="FR-SB-003"/>
    <x v="0"/>
    <s v="P1"/>
    <x v="2"/>
    <x v="11"/>
    <s v="ML-01; SE-01"/>
    <m/>
    <s v="ML-signal strategy through lifecycle"/>
    <s v="—"/>
    <s v="—"/>
    <m/>
    <m/>
    <m/>
    <m/>
    <d v="2026-09-24T00:00:00"/>
    <m/>
  </r>
  <r>
    <n v="168"/>
    <n v="4"/>
    <x v="4"/>
    <s v="NS-02"/>
    <s v="News/Sentiment"/>
    <s v="News classification"/>
    <s v="Earnings/Orders/M&amp;A/RBI/Govt/Global/Geopolitics"/>
    <x v="0"/>
    <s v="P0"/>
    <x v="1"/>
    <x v="7"/>
    <m/>
    <s v="Claude classifier coded; key unset"/>
    <s v="Set key; taxonomy; cost cap"/>
    <s v="data/news.py"/>
    <s v="news.py:118-129"/>
    <m/>
    <m/>
    <m/>
    <m/>
    <d v="2026-09-24T00:00:00"/>
    <m/>
  </r>
  <r>
    <n v="169"/>
    <n v="4"/>
    <x v="4"/>
    <s v="NS-03"/>
    <s v="News/Sentiment"/>
    <s v="Sentiment + confidence"/>
    <s v="Positive/neutral/negative + confidence"/>
    <x v="0"/>
    <s v="P0"/>
    <x v="1"/>
    <x v="6"/>
    <s v="NS-02"/>
    <s v="Rule-based; confidence frozen 50"/>
    <s v="Model-based scoring"/>
    <s v="data/news.py"/>
    <s v="—"/>
    <m/>
    <m/>
    <m/>
    <m/>
    <d v="2026-09-24T00:00:00"/>
    <m/>
  </r>
  <r>
    <n v="170"/>
    <n v="4"/>
    <x v="4"/>
    <s v="NS-05"/>
    <s v="News/Sentiment"/>
    <s v="Novelty/decay/source weighting"/>
    <s v="Decayed weighted sentiment"/>
    <x v="2"/>
    <s v="P1"/>
    <x v="2"/>
    <x v="10"/>
    <s v="NS-03"/>
    <m/>
    <s v="Implement"/>
    <s v="data/news.py"/>
    <s v="—"/>
    <m/>
    <m/>
    <m/>
    <m/>
    <d v="2026-09-24T00:00:00"/>
    <m/>
  </r>
  <r>
    <n v="171"/>
    <n v="4"/>
    <x v="4"/>
    <s v="NS-04"/>
    <s v="News/Sentiment"/>
    <s v="AI news summary"/>
    <s v="Summary for dashboard"/>
    <x v="0"/>
    <s v="P1"/>
    <x v="1"/>
    <x v="9"/>
    <s v="NS-02"/>
    <s v="Headline list"/>
    <s v="LLM summary"/>
    <s v="dashboard/server.py"/>
    <s v="/api/news"/>
    <m/>
    <m/>
    <m/>
    <m/>
    <d v="2026-09-24T00:00:00"/>
    <m/>
  </r>
  <r>
    <n v="172"/>
    <n v="4"/>
    <x v="4"/>
    <s v="DB-06"/>
    <s v="Dashboard"/>
    <s v="AI News Summary panel"/>
    <s v="Dashboard section"/>
    <x v="0"/>
    <s v="P1"/>
    <x v="1"/>
    <x v="9"/>
    <s v="NS-04"/>
    <s v="News panel (rule-based)"/>
    <s v="Show AI summary"/>
    <s v="dashboard/server.py"/>
    <s v="—"/>
    <m/>
    <m/>
    <m/>
    <m/>
    <d v="2026-09-24T00:00:00"/>
    <m/>
  </r>
  <r>
    <n v="173"/>
    <n v="4"/>
    <x v="4"/>
    <s v="NS-06"/>
    <s v="News/Sentiment"/>
    <s v="Earnings call / announcement NLP"/>
    <s v="Transcript sentiment"/>
    <x v="0"/>
    <s v="P2"/>
    <x v="2"/>
    <x v="11"/>
    <s v="NS-02"/>
    <m/>
    <s v="Implement"/>
    <s v="—"/>
    <s v="—"/>
    <m/>
    <m/>
    <m/>
    <m/>
    <d v="2026-09-24T00:00:00"/>
    <m/>
  </r>
  <r>
    <n v="174"/>
    <n v="4"/>
    <x v="4"/>
    <s v="ML-02"/>
    <s v="AI/ML"/>
    <s v="Deep learning"/>
    <s v="Neural models"/>
    <x v="0"/>
    <s v="P2"/>
    <x v="2"/>
    <x v="11"/>
    <s v="ML-08"/>
    <m/>
    <s v="Only if validated benefit"/>
    <s v="—"/>
    <s v="—"/>
    <m/>
    <m/>
    <m/>
    <m/>
    <d v="2026-09-24T00:00:00"/>
    <m/>
  </r>
  <r>
    <n v="175"/>
    <n v="4"/>
    <x v="4"/>
    <s v="ML-04"/>
    <s v="AI/ML"/>
    <s v="Reinforcement learning"/>
    <s v="RL where appropriate"/>
    <x v="0"/>
    <s v="P2"/>
    <x v="2"/>
    <x v="11"/>
    <s v="ML-08"/>
    <m/>
    <s v="Low priority"/>
    <s v="—"/>
    <s v="—"/>
    <m/>
    <m/>
    <m/>
    <m/>
    <d v="2026-09-24T00:00:00"/>
    <m/>
  </r>
  <r>
    <n v="176"/>
    <n v="4"/>
    <x v="4"/>
    <s v="DB-18"/>
    <s v="Dashboard"/>
    <s v="Quant/model panel"/>
    <s v="Factor IC; model health"/>
    <x v="2"/>
    <s v="P2"/>
    <x v="2"/>
    <x v="11"/>
    <s v="ML-12"/>
    <m/>
    <s v="Panel"/>
    <s v="dashboard/server.py"/>
    <s v="—"/>
    <m/>
    <m/>
    <m/>
    <m/>
    <d v="2026-09-24T00:00:00"/>
    <m/>
  </r>
  <r>
    <n v="177"/>
    <n v="5"/>
    <x v="5"/>
    <s v="PF-03"/>
    <s v="Portfolio"/>
    <s v="Exposure / sector allocation"/>
    <s v="Allocation view"/>
    <x v="0"/>
    <s v="P1"/>
    <x v="1"/>
    <x v="7"/>
    <s v="PF-02"/>
    <s v="Partial via PHS"/>
    <s v="Sector exposure table"/>
    <s v="scores/portfolio_health.py"/>
    <s v="—"/>
    <m/>
    <m/>
    <m/>
    <m/>
    <d v="2026-09-24T00:00:00"/>
    <m/>
  </r>
  <r>
    <n v="178"/>
    <n v="5"/>
    <x v="5"/>
    <s v="PF-04"/>
    <s v="Portfolio"/>
    <s v="Concentration/diversification"/>
    <s v="HHI; weight caps"/>
    <x v="0"/>
    <s v="P1"/>
    <x v="1"/>
    <x v="6"/>
    <s v="PF-03"/>
    <s v="Diversification term in PHS"/>
    <s v="Position-weight metrics"/>
    <s v="scores/portfolio_health.py"/>
    <s v="portfolio_health.py:127"/>
    <m/>
    <m/>
    <m/>
    <m/>
    <d v="2026-09-24T00:00:00"/>
    <m/>
  </r>
  <r>
    <n v="179"/>
    <n v="5"/>
    <x v="5"/>
    <s v="PF-09"/>
    <s v="Portfolio"/>
    <s v="Correlation"/>
    <s v="Holdings correlation"/>
    <x v="0"/>
    <s v="P1"/>
    <x v="2"/>
    <x v="11"/>
    <s v="QR-04"/>
    <m/>
    <s v="Implement"/>
    <s v="—"/>
    <s v="—"/>
    <m/>
    <m/>
    <m/>
    <m/>
    <d v="2026-09-24T00:00:00"/>
    <m/>
  </r>
  <r>
    <n v="180"/>
    <n v="5"/>
    <x v="5"/>
    <s v="RK-11"/>
    <s v="Risk Management"/>
    <s v="Correlation risk"/>
    <s v="Cluster limits"/>
    <x v="2"/>
    <s v="P1"/>
    <x v="2"/>
    <x v="11"/>
    <s v="PF-09"/>
    <m/>
    <s v="Implement"/>
    <s v="orders/risk.py"/>
    <s v="—"/>
    <m/>
    <m/>
    <m/>
    <m/>
    <d v="2026-09-24T00:00:00"/>
    <m/>
  </r>
  <r>
    <n v="181"/>
    <n v="5"/>
    <x v="5"/>
    <s v="RK-12"/>
    <s v="Risk Management"/>
    <s v="Portfolio VaR/ES"/>
    <s v="Portfolio risk"/>
    <x v="2"/>
    <s v="P1"/>
    <x v="2"/>
    <x v="11"/>
    <s v="QR-04"/>
    <m/>
    <s v="Implement"/>
    <s v="—"/>
    <s v="—"/>
    <m/>
    <m/>
    <m/>
    <m/>
    <d v="2026-09-24T00:00:00"/>
    <m/>
  </r>
  <r>
    <n v="182"/>
    <n v="5"/>
    <x v="5"/>
    <s v="RK-06"/>
    <s v="Risk Management"/>
    <s v="Sector limits"/>
    <s v="Sector cap"/>
    <x v="2"/>
    <s v="P1"/>
    <x v="2"/>
    <x v="11"/>
    <s v="PF-03"/>
    <m/>
    <s v="Pre-trade sector check"/>
    <s v="orders/risk.py"/>
    <s v="—"/>
    <m/>
    <m/>
    <m/>
    <m/>
    <d v="2026-09-24T00:00:00"/>
    <m/>
  </r>
  <r>
    <n v="183"/>
    <n v="5"/>
    <x v="5"/>
    <s v="RK-09"/>
    <s v="Risk Management"/>
    <s v="Volatility limits"/>
    <s v="Vol-scaled exposure"/>
    <x v="2"/>
    <s v="P1"/>
    <x v="2"/>
    <x v="11"/>
    <s v="TA-12"/>
    <m/>
    <s v="Implement"/>
    <s v="orders/risk.py"/>
    <s v="—"/>
    <m/>
    <m/>
    <m/>
    <m/>
    <d v="2026-09-24T00:00:00"/>
    <m/>
  </r>
  <r>
    <n v="184"/>
    <n v="5"/>
    <x v="5"/>
    <s v="RK-10"/>
    <s v="Risk Management"/>
    <s v="Liquidity limits"/>
    <s v="ADV participation cap"/>
    <x v="2"/>
    <s v="P1"/>
    <x v="2"/>
    <x v="10"/>
    <s v="DP-02"/>
    <s v="None in order path"/>
    <s v="Pre-trade ADV check"/>
    <s v="orders/risk.py"/>
    <s v="—"/>
    <m/>
    <m/>
    <m/>
    <m/>
    <d v="2026-09-24T00:00:00"/>
    <m/>
  </r>
  <r>
    <n v="185"/>
    <n v="5"/>
    <x v="5"/>
    <s v="RK-18"/>
    <s v="Risk Management"/>
    <s v="Strategy risk budget"/>
    <s v="Per-strategy limits"/>
    <x v="2"/>
    <s v="P2"/>
    <x v="2"/>
    <x v="11"/>
    <s v="SE-09"/>
    <m/>
    <s v="Implement"/>
    <s v="orders/risk.py"/>
    <s v="—"/>
    <m/>
    <m/>
    <m/>
    <m/>
    <d v="2026-09-24T00:00:00"/>
    <m/>
  </r>
  <r>
    <n v="186"/>
    <n v="5"/>
    <x v="5"/>
    <s v="RK-01"/>
    <s v="Risk Management"/>
    <s v="Kill switch scopes + auto-trigger"/>
    <s v="Global/strategy/symbol; auto on breach"/>
    <x v="2"/>
    <s v="P0"/>
    <x v="0"/>
    <x v="1"/>
    <s v="RK-07; RK-08"/>
    <s v="Global flag file + config"/>
    <s v="Per-strategy/symbol; auto-trigger"/>
    <s v="orders/risk.py"/>
    <s v="71bff1b"/>
    <m/>
    <m/>
    <m/>
    <m/>
    <d v="2026-09-24T00:00:00"/>
    <m/>
  </r>
  <r>
    <n v="187"/>
    <n v="5"/>
    <x v="5"/>
    <s v="RK-16"/>
    <s v="Risk Management"/>
    <s v="Emergency exit"/>
    <s v="Flatten all positions"/>
    <x v="2"/>
    <s v="P0"/>
    <x v="2"/>
    <x v="10"/>
    <s v="RK-01"/>
    <m/>
    <s v="One-command flatten with confirm"/>
    <s v="orders/"/>
    <s v="—"/>
    <m/>
    <m/>
    <m/>
    <m/>
    <d v="2026-09-24T00:00:00"/>
    <m/>
  </r>
  <r>
    <n v="188"/>
    <n v="5"/>
    <x v="5"/>
    <s v="PF-10"/>
    <s v="Portfolio"/>
    <s v="Portfolio optimisation"/>
    <s v="Vol target; risk parity; MV with costs; BL"/>
    <x v="2"/>
    <s v="P1"/>
    <x v="2"/>
    <x v="11"/>
    <s v="RK-12"/>
    <m/>
    <s v="Covariance + optimiser"/>
    <s v="—"/>
    <s v="—"/>
    <m/>
    <m/>
    <m/>
    <m/>
    <d v="2026-09-24T00:00:00"/>
    <m/>
  </r>
  <r>
    <n v="189"/>
    <n v="5"/>
    <x v="5"/>
    <s v="PF-06"/>
    <s v="Portfolio"/>
    <s v="Rebalancing"/>
    <s v="Rebalance proposals"/>
    <x v="0"/>
    <s v="P1"/>
    <x v="2"/>
    <x v="11"/>
    <s v="PF-10"/>
    <m/>
    <s v="Implement"/>
    <s v="—"/>
    <s v="—"/>
    <m/>
    <m/>
    <m/>
    <m/>
    <d v="2026-09-24T00:00:00"/>
    <m/>
  </r>
  <r>
    <n v="190"/>
    <n v="5"/>
    <x v="5"/>
    <s v="PF-07"/>
    <s v="Portfolio"/>
    <s v="Risk attribution"/>
    <s v="Risk contribution"/>
    <x v="2"/>
    <s v="P2"/>
    <x v="2"/>
    <x v="11"/>
    <s v="PF-10"/>
    <m/>
    <s v="Implement"/>
    <s v="—"/>
    <s v="—"/>
    <m/>
    <m/>
    <m/>
    <m/>
    <d v="2026-09-24T00:00:00"/>
    <m/>
  </r>
  <r>
    <n v="191"/>
    <n v="5"/>
    <x v="5"/>
    <s v="PF-08"/>
    <s v="Portfolio"/>
    <s v="Performance attribution"/>
    <s v="Return attribution"/>
    <x v="2"/>
    <s v="P2"/>
    <x v="2"/>
    <x v="11"/>
    <s v="PF-13"/>
    <m/>
    <s v="Implement"/>
    <s v="—"/>
    <s v="—"/>
    <m/>
    <m/>
    <m/>
    <m/>
    <d v="2026-09-24T00:00:00"/>
    <m/>
  </r>
  <r>
    <n v="192"/>
    <n v="5"/>
    <x v="5"/>
    <s v="PF-11"/>
    <s v="Portfolio"/>
    <s v="CAGR/XIRR analytics"/>
    <s v="FR-PO-004"/>
    <x v="0"/>
    <s v="P2"/>
    <x v="2"/>
    <x v="10"/>
    <s v="PF-13"/>
    <m/>
    <s v="Implement"/>
    <s v="—"/>
    <s v="—"/>
    <m/>
    <m/>
    <m/>
    <m/>
    <d v="2026-09-24T00:00:00"/>
    <m/>
  </r>
  <r>
    <n v="193"/>
    <n v="5"/>
    <x v="5"/>
    <s v="DB-17"/>
    <s v="Dashboard"/>
    <s v="Risk dashboard"/>
    <s v="Risk panel"/>
    <x v="2"/>
    <s v="P1"/>
    <x v="2"/>
    <x v="10"/>
    <s v="RK-12"/>
    <m/>
    <s v="Panel"/>
    <s v="dashboard/server.py"/>
    <s v="—"/>
    <m/>
    <m/>
    <m/>
    <m/>
    <d v="2026-09-24T00:00:00"/>
    <m/>
  </r>
  <r>
    <n v="194"/>
    <n v="6"/>
    <x v="6"/>
    <s v="EX-02"/>
    <s v="Execution"/>
    <s v="Order types"/>
    <s v="Market/limit/SL/SL-M/GTT/bracket"/>
    <x v="0"/>
    <s v="P0"/>
    <x v="1"/>
    <x v="9"/>
    <m/>
    <s v="Market + limit"/>
    <s v="Add SL/SL-M/GTT"/>
    <s v="orders/broker.py"/>
    <s v="—"/>
    <m/>
    <m/>
    <m/>
    <m/>
    <d v="2026-09-24T00:00:00"/>
    <m/>
  </r>
  <r>
    <n v="195"/>
    <n v="6"/>
    <x v="6"/>
    <s v="EX-08"/>
    <s v="Execution"/>
    <s v="Order modify/cancel"/>
    <s v="FR-LT-002/003"/>
    <x v="0"/>
    <s v="P0"/>
    <x v="3"/>
    <x v="11"/>
    <m/>
    <s v="Not verified"/>
    <s v="Confirm; implement"/>
    <s v="orders/broker.py"/>
    <s v="—"/>
    <m/>
    <m/>
    <m/>
    <m/>
    <d v="2026-09-24T00:00:00"/>
    <m/>
  </r>
  <r>
    <n v="196"/>
    <n v="6"/>
    <x v="6"/>
    <s v="BR-05"/>
    <s v="Broker Integration"/>
    <s v="Execution reconciliation"/>
    <s v="Orders vs broker fills/positions"/>
    <x v="0"/>
    <s v="P0"/>
    <x v="1"/>
    <x v="7"/>
    <m/>
    <s v="Partial reconcile code"/>
    <s v="EOD reconciliation job + alert"/>
    <s v="orders/"/>
    <s v="—"/>
    <m/>
    <m/>
    <m/>
    <m/>
    <d v="2026-09-24T00:00:00"/>
    <m/>
  </r>
  <r>
    <n v="197"/>
    <n v="6"/>
    <x v="6"/>
    <s v="BR-06"/>
    <s v="Broker Integration"/>
    <s v="Connection health"/>
    <s v="FR-BI-003"/>
    <x v="0"/>
    <s v="P1"/>
    <x v="1"/>
    <x v="6"/>
    <s v="MON-03"/>
    <s v="broker-status route; WS stall detection"/>
    <s v="Health checks + alerts"/>
    <s v="dashboard/server.py"/>
    <s v="b303d7a"/>
    <m/>
    <m/>
    <m/>
    <m/>
    <d v="2026-09-24T00:00:00"/>
    <m/>
  </r>
  <r>
    <n v="198"/>
    <n v="6"/>
    <x v="6"/>
    <s v="RK-17"/>
    <s v="Risk Management"/>
    <s v="Broker/operational risk"/>
    <s v="Token expiry; connection loss"/>
    <x v="2"/>
    <s v="P1"/>
    <x v="1"/>
    <x v="7"/>
    <s v="BR-06"/>
    <s v="broker-status route"/>
    <s v="Automated checks"/>
    <s v="dashboard/server.py"/>
    <s v="—"/>
    <m/>
    <m/>
    <m/>
    <m/>
    <d v="2026-09-24T00:00:00"/>
    <m/>
  </r>
  <r>
    <n v="199"/>
    <n v="6"/>
    <x v="6"/>
    <s v="BR-08"/>
    <s v="Broker Integration"/>
    <s v="Sandbox"/>
    <s v="Broker sandbox environment"/>
    <x v="1"/>
    <s v="P2"/>
    <x v="1"/>
    <x v="7"/>
    <m/>
    <s v="SANDBOX env defined"/>
    <s v="Verify sandbox path end-to-end"/>
    <s v="orders/environment.py"/>
    <s v="—"/>
    <m/>
    <m/>
    <m/>
    <m/>
    <d v="2026-09-24T00:00:00"/>
    <m/>
  </r>
  <r>
    <n v="200"/>
    <n v="6"/>
    <x v="6"/>
    <s v="EX-09"/>
    <s v="Execution"/>
    <s v="Measured slippage"/>
    <s v="Slippage vs decision price"/>
    <x v="2"/>
    <s v="P1"/>
    <x v="2"/>
    <x v="10"/>
    <s v="PF-13"/>
    <s v="Assumption only"/>
    <s v="Measure per fill"/>
    <s v="orders/"/>
    <s v="—"/>
    <m/>
    <m/>
    <m/>
    <m/>
    <d v="2026-09-24T00:00:00"/>
    <m/>
  </r>
  <r>
    <n v="201"/>
    <n v="6"/>
    <x v="6"/>
    <s v="EX-10"/>
    <s v="Execution"/>
    <s v="Execution analytics"/>
    <s v="Implementation shortfall; fill/reject rate"/>
    <x v="2"/>
    <s v="P1"/>
    <x v="1"/>
    <x v="17"/>
    <s v="EX-09"/>
    <s v="order_log raw data only"/>
    <s v="Analytics + panel"/>
    <s v="orders/"/>
    <s v="—"/>
    <m/>
    <m/>
    <m/>
    <m/>
    <d v="2026-09-24T00:00:00"/>
    <m/>
  </r>
  <r>
    <n v="202"/>
    <n v="6"/>
    <x v="6"/>
    <s v="BR-02"/>
    <s v="Broker Integration"/>
    <s v="Zerodha/Kite"/>
    <s v="Portfolio (+orders optional)"/>
    <x v="0"/>
    <s v="P2"/>
    <x v="1"/>
    <x v="9"/>
    <m/>
    <s v="Holdings sync only"/>
    <s v="Token refresh; orders if wanted"/>
    <s v="portfolio/zerodha.py"/>
    <s v="—"/>
    <m/>
    <m/>
    <m/>
    <m/>
    <d v="2026-09-24T00:00:00"/>
    <m/>
  </r>
  <r>
    <n v="203"/>
    <n v="6"/>
    <x v="6"/>
    <s v="MON-04"/>
    <s v="Monitoring"/>
    <s v="Live strategy/P&amp;L monitoring"/>
    <s v="Live P&amp;L view"/>
    <x v="0"/>
    <s v="P1"/>
    <x v="1"/>
    <x v="14"/>
    <s v="PF-13"/>
    <s v="Dashboard partial"/>
    <s v="Live P&amp;L panel"/>
    <s v="dashboard/server.py"/>
    <s v="—"/>
    <m/>
    <m/>
    <m/>
    <m/>
    <d v="2026-09-24T00:00:00"/>
    <m/>
  </r>
  <r>
    <n v="204"/>
    <n v="6"/>
    <x v="6"/>
    <s v="SEC-03"/>
    <s v="Security"/>
    <s v="Audit logging"/>
    <s v="Immutable audit (FR-AT-001)"/>
    <x v="0"/>
    <s v="P1"/>
    <x v="1"/>
    <x v="9"/>
    <m/>
    <s v="order_log; signal_log; pipeline_log"/>
    <s v="Tamper-evident unified audit"/>
    <s v="—"/>
    <s v="—"/>
    <m/>
    <m/>
    <m/>
    <m/>
    <d v="2026-09-24T00:00:00"/>
    <m/>
  </r>
  <r>
    <n v="205"/>
    <n v="7"/>
    <x v="7"/>
    <s v="DP-04"/>
    <s v="Data Platform"/>
    <s v="Tick data"/>
    <s v="Tick capture store"/>
    <x v="2"/>
    <s v="P2"/>
    <x v="2"/>
    <x v="10"/>
    <s v="DBS-04"/>
    <s v="live_ticks exists; 0 rows"/>
    <s v="Tick ingestion + storage"/>
    <s v="data/dhan.py"/>
    <s v="—"/>
    <m/>
    <m/>
    <m/>
    <m/>
    <d v="2026-09-24T00:00:00"/>
    <m/>
  </r>
  <r>
    <n v="206"/>
    <n v="7"/>
    <x v="7"/>
    <s v="DP-05"/>
    <s v="Data Platform"/>
    <s v="Order book / depth"/>
    <s v="L2 depth; bid/ask"/>
    <x v="2"/>
    <s v="P2"/>
    <x v="2"/>
    <x v="10"/>
    <s v="DP-04"/>
    <s v="FULL feed type defined (CLI only)"/>
    <s v="Depth capture + schema"/>
    <s v="data/dhan.py"/>
    <s v="dhan.py FULL=21"/>
    <m/>
    <m/>
    <m/>
    <m/>
    <d v="2026-09-24T00:00:00"/>
    <m/>
  </r>
  <r>
    <n v="207"/>
    <n v="7"/>
    <x v="7"/>
    <s v="AF-07"/>
    <s v="Alpha/Factor Engine"/>
    <s v="Microstructure factors"/>
    <s v="OBI; spread; microprice"/>
    <x v="2"/>
    <s v="P2"/>
    <x v="2"/>
    <x v="11"/>
    <s v="DP-05"/>
    <m/>
    <s v="Implement"/>
    <s v="—"/>
    <s v="—"/>
    <m/>
    <m/>
    <m/>
    <m/>
    <d v="2026-09-24T00:00:00"/>
    <m/>
  </r>
  <r>
    <n v="208"/>
    <n v="7"/>
    <x v="7"/>
    <s v="AF-06"/>
    <s v="Alpha/Factor Engine"/>
    <s v="Derivatives factors"/>
    <s v="OI buildup; IV; PCR; skew"/>
    <x v="2"/>
    <s v="P2"/>
    <x v="2"/>
    <x v="11"/>
    <s v="DP-08"/>
    <m/>
    <s v="Implement"/>
    <s v="—"/>
    <s v="—"/>
    <m/>
    <m/>
    <m/>
    <m/>
    <d v="2026-09-24T00:00:00"/>
    <m/>
  </r>
  <r>
    <n v="209"/>
    <n v="7"/>
    <x v="7"/>
    <s v="QR-10"/>
    <s v="Quant Research"/>
    <s v="Volatility strategies"/>
    <s v="IV/RV; vol breakout"/>
    <x v="2"/>
    <s v="P2"/>
    <x v="2"/>
    <x v="11"/>
    <s v="DP-08"/>
    <m/>
    <s v="Implement"/>
    <s v="—"/>
    <s v="—"/>
    <m/>
    <m/>
    <m/>
    <m/>
    <d v="2026-09-24T00:00:00"/>
    <m/>
  </r>
  <r>
    <n v="210"/>
    <n v="7"/>
    <x v="7"/>
    <s v="QR-05"/>
    <s v="Quant Research"/>
    <s v="Stat-arb / pairs / cointegration"/>
    <s v="Pairs research"/>
    <x v="2"/>
    <s v="P2"/>
    <x v="2"/>
    <x v="11"/>
    <s v="QR-04"/>
    <m/>
    <s v="Implement"/>
    <s v="—"/>
    <s v="—"/>
    <m/>
    <m/>
    <m/>
    <m/>
    <d v="2026-09-24T00:00:00"/>
    <m/>
  </r>
  <r>
    <n v="211"/>
    <n v="7"/>
    <x v="7"/>
    <s v="QR-06"/>
    <s v="Quant Research"/>
    <s v="Cross-sectional / market-neutral"/>
    <s v="Long-short research"/>
    <x v="2"/>
    <s v="P2"/>
    <x v="2"/>
    <x v="11"/>
    <s v="DP-08"/>
    <s v="None (long-only cash)"/>
    <s v="Needs shorting via F&amp;O"/>
    <s v="—"/>
    <s v="—"/>
    <m/>
    <m/>
    <m/>
    <m/>
    <d v="2026-09-24T00:00:00"/>
    <m/>
  </r>
  <r>
    <n v="212"/>
    <n v="7"/>
    <x v="7"/>
    <s v="QR-09"/>
    <s v="Quant Research"/>
    <s v="Event-driven research"/>
    <s v="Earnings/CA event studies"/>
    <x v="2"/>
    <s v="P2"/>
    <x v="2"/>
    <x v="10"/>
    <s v="DP-06"/>
    <s v="CA data exists; no event study"/>
    <s v="Abnormal-return engine"/>
    <s v="—"/>
    <s v="—"/>
    <m/>
    <m/>
    <m/>
    <m/>
    <d v="2026-09-24T00:00:00"/>
    <m/>
  </r>
  <r>
    <n v="213"/>
    <n v="7"/>
    <x v="7"/>
    <s v="AF-05"/>
    <s v="Alpha/Factor Engine"/>
    <s v="Value/quality composites"/>
    <s v="Piotroski; Altman; value z-composite"/>
    <x v="2"/>
    <s v="P2"/>
    <x v="2"/>
    <x v="11"/>
    <s v="DP-15"/>
    <m/>
    <s v="Implement"/>
    <s v="—"/>
    <s v="—"/>
    <m/>
    <m/>
    <m/>
    <m/>
    <d v="2026-09-24T00:00:00"/>
    <m/>
  </r>
  <r>
    <n v="214"/>
    <n v="7"/>
    <x v="7"/>
    <s v="EX-11"/>
    <s v="Execution"/>
    <s v="Execution algos"/>
    <s v="TWAP/VWAP/POV"/>
    <x v="2"/>
    <s v="P2"/>
    <x v="2"/>
    <x v="11"/>
    <s v="DP-03"/>
    <m/>
    <s v="Implement"/>
    <s v="—"/>
    <s v="—"/>
    <m/>
    <m/>
    <m/>
    <m/>
    <d v="2026-09-24T00:00:00"/>
    <m/>
  </r>
  <r>
    <n v="215"/>
    <n v="7"/>
    <x v="7"/>
    <s v="EX-12"/>
    <s v="Execution"/>
    <s v="Market impact model"/>
    <s v="Impact estimate"/>
    <x v="2"/>
    <s v="P2"/>
    <x v="2"/>
    <x v="11"/>
    <s v="DP-05"/>
    <m/>
    <s v="Implement"/>
    <s v="—"/>
    <s v="—"/>
    <m/>
    <m/>
    <m/>
    <m/>
    <d v="2026-09-24T00:00:00"/>
    <m/>
  </r>
  <r>
    <n v="216"/>
    <n v="7"/>
    <x v="7"/>
    <s v="EX-15"/>
    <s v="Execution"/>
    <s v="Latency telemetry"/>
    <s v="p50/p95/p99"/>
    <x v="2"/>
    <s v="P2"/>
    <x v="2"/>
    <x v="11"/>
    <m/>
    <m/>
    <s v="Instrument data and order paths"/>
    <s v="—"/>
    <s v="—"/>
    <m/>
    <m/>
    <m/>
    <m/>
    <d v="2026-09-24T00:00:00"/>
    <m/>
  </r>
  <r>
    <n v="217"/>
    <n v="7"/>
    <x v="7"/>
    <s v="EX-16"/>
    <s v="Execution"/>
    <s v="Event-driven OMS"/>
    <s v="Event bus signal-&gt;risk-&gt;order-&gt;fill"/>
    <x v="2"/>
    <s v="P2"/>
    <x v="2"/>
    <x v="17"/>
    <s v="EX-15"/>
    <s v="Synchronous calls"/>
    <s v="Implement"/>
    <s v="—"/>
    <s v="—"/>
    <m/>
    <m/>
    <m/>
    <m/>
    <d v="2026-09-24T00:00:00"/>
    <m/>
  </r>
  <r>
    <n v="218"/>
    <n v="7"/>
    <x v="7"/>
    <s v="BT-17"/>
    <s v="Backtesting"/>
    <s v="Event-driven backtester"/>
    <s v="Event engine shared with live"/>
    <x v="2"/>
    <s v="P2"/>
    <x v="2"/>
    <x v="11"/>
    <s v="EX-16"/>
    <s v="Bar loops only"/>
    <s v="Implement"/>
    <s v="—"/>
    <s v="—"/>
    <m/>
    <m/>
    <m/>
    <m/>
    <d v="2026-09-24T00:00:00"/>
    <m/>
  </r>
  <r>
    <n v="219"/>
    <n v="7"/>
    <x v="7"/>
    <s v="DP-14"/>
    <s v="Data Platform"/>
    <s v="Macroeconomic data"/>
    <s v="RBI rates; CPI; IIP; yields"/>
    <x v="2"/>
    <s v="P2"/>
    <x v="2"/>
    <x v="11"/>
    <m/>
    <m/>
    <s v="Macro connectors + calendar"/>
    <s v="—"/>
    <s v="—"/>
    <m/>
    <m/>
    <m/>
    <m/>
    <d v="2026-09-24T00:00:00"/>
    <m/>
  </r>
  <r>
    <n v="220"/>
    <n v="7"/>
    <x v="7"/>
    <s v="AD-01"/>
    <s v="Alternative Data"/>
    <s v="Alt-data framework"/>
    <s v="Source abstraction"/>
    <x v="2"/>
    <s v="P2"/>
    <x v="2"/>
    <x v="11"/>
    <m/>
    <m/>
    <s v="DataSource interface"/>
    <s v="—"/>
    <s v="—"/>
    <m/>
    <m/>
    <m/>
    <m/>
    <d v="2026-09-24T00:00:00"/>
    <m/>
  </r>
  <r>
    <n v="221"/>
    <n v="7"/>
    <x v="7"/>
    <s v="AD-02"/>
    <s v="Alternative Data"/>
    <s v="Alt-data sources"/>
    <s v="Web/social/search/etc."/>
    <x v="2"/>
    <s v="P2"/>
    <x v="2"/>
    <x v="11"/>
    <s v="AD-01"/>
    <m/>
    <s v="Add sources"/>
    <s v="—"/>
    <s v="—"/>
    <m/>
    <m/>
    <m/>
    <m/>
    <d v="2026-09-24T00:00:00"/>
    <m/>
  </r>
  <r>
    <n v="222"/>
    <n v="7"/>
    <x v="7"/>
    <s v="DP-22"/>
    <s v="Data Platform"/>
    <s v="Point-in-time data lake"/>
    <s v="Columnar PIT research store"/>
    <x v="2"/>
    <s v="P2"/>
    <x v="2"/>
    <x v="10"/>
    <m/>
    <s v="SQLite only"/>
    <s v="Parquet/DuckDB store"/>
    <s v="—"/>
    <s v="—"/>
    <m/>
    <m/>
    <m/>
    <m/>
    <d v="2026-09-24T00:00:00"/>
    <m/>
  </r>
  <r>
    <n v="223"/>
    <n v="7"/>
    <x v="7"/>
    <s v="DP-21"/>
    <s v="Data Platform"/>
    <s v="Multi-asset data"/>
    <s v="Commodities; FX; bonds; MF"/>
    <x v="0"/>
    <s v="P2"/>
    <x v="2"/>
    <x v="11"/>
    <m/>
    <s v="Global display tickers only"/>
    <s v="MCX/CDS/bond/MF feeds"/>
    <s v="—"/>
    <s v="—"/>
    <m/>
    <m/>
    <m/>
    <m/>
    <d v="2026-09-24T00:00:00"/>
    <m/>
  </r>
  <r>
    <n v="224"/>
    <n v="8"/>
    <x v="8"/>
    <s v="MON-05"/>
    <s v="Monitoring"/>
    <s v="Model/factor decay monitoring"/>
    <s v="Decay alerts"/>
    <x v="2"/>
    <s v="P1"/>
    <x v="2"/>
    <x v="11"/>
    <s v="QR-02; ML-09"/>
    <m/>
    <s v="Implement"/>
    <s v="—"/>
    <s v="—"/>
    <m/>
    <m/>
    <m/>
    <m/>
    <d v="2026-09-24T00:00:00"/>
    <m/>
  </r>
  <r>
    <n v="225"/>
    <n v="8"/>
    <x v="8"/>
    <s v="OPS-06"/>
    <s v="Deployment/Ops"/>
    <s v="DR / backup automation"/>
    <s v="DR plan"/>
    <x v="0"/>
    <s v="P1"/>
    <x v="2"/>
    <x v="10"/>
    <s v="DBS-03"/>
    <m/>
    <s v="Restore drills"/>
    <s v="—"/>
    <s v="—"/>
    <m/>
    <m/>
    <m/>
    <m/>
    <d v="2026-09-24T00:00:00"/>
    <m/>
  </r>
  <r>
    <n v="226"/>
    <n v="8"/>
    <x v="8"/>
    <s v="SEC-04"/>
    <s v="Security"/>
    <s v="Encryption"/>
    <s v="TLS 1.3; AES-256 at rest (SRS)"/>
    <x v="0"/>
    <s v="P1"/>
    <x v="2"/>
    <x v="10"/>
    <m/>
    <s v="None locally"/>
    <s v="Encrypt secrets and DB at rest"/>
    <s v="—"/>
    <s v="—"/>
    <m/>
    <m/>
    <m/>
    <m/>
    <d v="2026-09-24T00:00:00"/>
    <m/>
  </r>
  <r>
    <n v="227"/>
    <n v="8"/>
    <x v="8"/>
    <s v="API-05"/>
    <s v="APIs"/>
    <s v="API contracts/docs"/>
    <s v="Documented contracts"/>
    <x v="0"/>
    <s v="P2"/>
    <x v="1"/>
    <x v="7"/>
    <m/>
    <s v="FastAPI defaults only"/>
    <s v="Written contracts"/>
    <s v="—"/>
    <s v="—"/>
    <m/>
    <m/>
    <m/>
    <m/>
    <d v="2026-09-24T00:00:00"/>
    <m/>
  </r>
  <r>
    <n v="228"/>
    <n v="8"/>
    <x v="8"/>
    <s v="API-06"/>
    <s v="APIs"/>
    <s v="Widget JSON schemas"/>
    <s v="QRH deliverable"/>
    <x v="0"/>
    <s v="P2"/>
    <x v="2"/>
    <x v="10"/>
    <m/>
    <m/>
    <s v="Define schemas"/>
    <s v="—"/>
    <s v="—"/>
    <m/>
    <m/>
    <m/>
    <m/>
    <d v="2026-09-24T00:00:00"/>
    <m/>
  </r>
  <r>
    <n v="229"/>
    <n v="8"/>
    <x v="8"/>
    <s v="OPS-05"/>
    <s v="Deployment/Ops"/>
    <s v="Documentation set"/>
    <s v="BRD..OPS documents with real content"/>
    <x v="0"/>
    <s v="P1"/>
    <x v="1"/>
    <x v="16"/>
    <m/>
    <s v="Mostly 60-word templates"/>
    <s v="Author docs from as-built system"/>
    <s v="docs/"/>
    <s v="OLd_Archives_ATIP/ATIP_Docs"/>
    <m/>
    <m/>
    <m/>
    <m/>
    <d v="2026-09-24T00:00:00"/>
    <m/>
  </r>
  <r>
    <n v="230"/>
    <n v="9"/>
    <x v="9"/>
    <s v="ENT-01"/>
    <s v="Enterprise Platform"/>
    <s v="Multi-tenant architecture"/>
    <s v="Per-user data isolation; tenant model"/>
    <x v="3"/>
    <s v="P0"/>
    <x v="2"/>
    <x v="11"/>
    <s v="OPS-05"/>
    <s v="Single-user local design"/>
    <s v="Architecture decision record; tenant-scoped schema"/>
    <s v="—"/>
    <s v="BRD-003; SRS 2"/>
    <m/>
    <m/>
    <m/>
    <m/>
    <d v="2026-09-24T00:00:00"/>
    <m/>
  </r>
  <r>
    <n v="231"/>
    <n v="9"/>
    <x v="9"/>
    <s v="DBS-05"/>
    <s v="Database"/>
    <s v="Scalable database"/>
    <s v="PostgreSQL/time-series (SRS)"/>
    <x v="3"/>
    <s v="P0"/>
    <x v="2"/>
    <x v="11"/>
    <s v="ENT-01"/>
    <s v="SQLite"/>
    <s v="Migrate to Postgres"/>
    <s v="—"/>
    <s v="SRS 2"/>
    <m/>
    <m/>
    <m/>
    <m/>
    <d v="2026-09-24T00:00:00"/>
    <m/>
  </r>
  <r>
    <n v="232"/>
    <n v="9"/>
    <x v="9"/>
    <s v="ENT-07"/>
    <s v="Security"/>
    <s v="Secure internet exposure"/>
    <s v="TLS; WAF; rate limits; zero trust"/>
    <x v="3"/>
    <s v="P0"/>
    <x v="2"/>
    <x v="11"/>
    <s v="ENT-01"/>
    <s v="Local-only by design (never exposed)"/>
    <s v="Security architecture before any exposure"/>
    <s v="—"/>
    <s v="SRS 5"/>
    <m/>
    <m/>
    <m/>
    <m/>
    <d v="2026-09-24T00:00:00"/>
    <m/>
  </r>
  <r>
    <n v="233"/>
    <n v="9"/>
    <x v="9"/>
    <s v="SEC-02"/>
    <s v="Security"/>
    <s v="Users / RBAC / MFA"/>
    <s v="FR-AU-001/002; RBAC"/>
    <x v="3"/>
    <s v="P0"/>
    <x v="2"/>
    <x v="11"/>
    <s v="ENT-07"/>
    <s v="Single-user; none"/>
    <s v="Identity provider; roles; MFA"/>
    <s v="—"/>
    <s v="SRS Part III"/>
    <m/>
    <m/>
    <m/>
    <m/>
    <d v="2026-09-24T00:00:00"/>
    <m/>
  </r>
  <r>
    <n v="234"/>
    <n v="9"/>
    <x v="9"/>
    <s v="ENT-05"/>
    <s v="Security"/>
    <s v="Session management"/>
    <s v="Timeout; refresh tokens; revocation (FR-AU-003)"/>
    <x v="3"/>
    <s v="P0"/>
    <x v="2"/>
    <x v="11"/>
    <s v="SEC-02"/>
    <s v="Single static token"/>
    <s v="Implement"/>
    <s v="—"/>
    <s v="SRS Part III"/>
    <m/>
    <m/>
    <m/>
    <m/>
    <d v="2026-09-24T00:00:00"/>
    <m/>
  </r>
  <r>
    <n v="235"/>
    <n v="9"/>
    <x v="9"/>
    <s v="ENT-02"/>
    <s v="User Management"/>
    <s v="User registration/onboarding"/>
    <s v="Email; mobile; OAuth; Google; Apple (FR-UM-001)"/>
    <x v="3"/>
    <s v="P0"/>
    <x v="2"/>
    <x v="11"/>
    <s v="SEC-02"/>
    <m/>
    <s v="Implement"/>
    <s v="—"/>
    <s v="SRS Part III"/>
    <m/>
    <m/>
    <m/>
    <m/>
    <d v="2026-09-24T00:00:00"/>
    <m/>
  </r>
  <r>
    <n v="236"/>
    <n v="9"/>
    <x v="9"/>
    <s v="ENT-03"/>
    <s v="User Management"/>
    <s v="User profile + risk profile"/>
    <s v="FR-UM-002"/>
    <x v="3"/>
    <s v="P0"/>
    <x v="2"/>
    <x v="11"/>
    <s v="ENT-02"/>
    <m/>
    <s v="Implement"/>
    <s v="—"/>
    <s v="SRS Part III"/>
    <m/>
    <m/>
    <m/>
    <m/>
    <d v="2026-09-24T00:00:00"/>
    <m/>
  </r>
  <r>
    <n v="237"/>
    <n v="9"/>
    <x v="9"/>
    <s v="ENT-06"/>
    <s v="Security"/>
    <s v="Per-user broker credential vault"/>
    <s v="Broker OAuth; encrypted per-user tokens"/>
    <x v="3"/>
    <s v="P0"/>
    <x v="2"/>
    <x v="11"/>
    <s v="SEC-02"/>
    <s v="One owner's config.json"/>
    <s v="Vault + broker OAuth"/>
    <s v="—"/>
    <s v="—"/>
    <m/>
    <m/>
    <m/>
    <m/>
    <d v="2026-09-24T00:00:00"/>
    <m/>
  </r>
  <r>
    <n v="238"/>
    <n v="9"/>
    <x v="9"/>
    <s v="ENT-14"/>
    <s v="Compliance"/>
    <s v="Regulatory approvals"/>
    <s v="SEBI retail algo framework (broker/exchange algo approval); RA/IA registration if advice is offered"/>
    <x v="3"/>
    <s v="P0"/>
    <x v="2"/>
    <x v="11"/>
    <m/>
    <m/>
    <s v="Legal review before offering to other users"/>
    <s v="—"/>
    <s v="BRD-006"/>
    <m/>
    <m/>
    <m/>
    <m/>
    <d v="2026-09-24T00:00:00"/>
    <m/>
  </r>
  <r>
    <n v="239"/>
    <n v="9"/>
    <x v="9"/>
    <s v="SEC-05"/>
    <s v="Security"/>
    <s v="Compliance monitoring"/>
    <s v="FR-AT-002"/>
    <x v="3"/>
    <s v="P0"/>
    <x v="2"/>
    <x v="11"/>
    <s v="ENT-14"/>
    <m/>
    <s v="Implement controls from ENT-14"/>
    <s v="—"/>
    <s v="SRS Part III"/>
    <m/>
    <m/>
    <m/>
    <m/>
    <d v="2026-09-24T00:00:00"/>
    <m/>
  </r>
  <r>
    <n v="240"/>
    <n v="9"/>
    <x v="9"/>
    <s v="ENT-17"/>
    <s v="Compliance"/>
    <s v="Data privacy"/>
    <s v="DPDP Act; consent; retention"/>
    <x v="3"/>
    <s v="P1"/>
    <x v="2"/>
    <x v="11"/>
    <s v="ENT-14"/>
    <m/>
    <s v="Privacy policy + controls"/>
    <s v="—"/>
    <s v="BRD-004"/>
    <m/>
    <m/>
    <m/>
    <m/>
    <d v="2026-09-24T00:00:00"/>
    <m/>
  </r>
  <r>
    <n v="241"/>
    <n v="9"/>
    <x v="9"/>
    <s v="ENT-08"/>
    <s v="Channels"/>
    <s v="Multi-user web app"/>
    <s v="Web UI for all users"/>
    <x v="3"/>
    <s v="P0"/>
    <x v="2"/>
    <x v="11"/>
    <s v="SEC-02"/>
    <s v="Single-user dashboard + read-only snapshot"/>
    <s v="Build web app"/>
    <s v="—"/>
    <s v="SRS 2"/>
    <m/>
    <m/>
    <m/>
    <m/>
    <d v="2026-09-24T00:00:00"/>
    <m/>
  </r>
  <r>
    <n v="242"/>
    <n v="9"/>
    <x v="9"/>
    <s v="ENT-04"/>
    <s v="User Management"/>
    <s v="Subscriptions &amp; billing"/>
    <s v="Free/Premium/Enterprise (FR-UM-003)"/>
    <x v="3"/>
    <s v="P1"/>
    <x v="2"/>
    <x v="11"/>
    <s v="ENT-02"/>
    <m/>
    <s v="Plans + payment gateway"/>
    <s v="—"/>
    <s v="SRS Part III"/>
    <m/>
    <m/>
    <m/>
    <m/>
    <d v="2026-09-24T00:00:00"/>
    <m/>
  </r>
  <r>
    <n v="243"/>
    <n v="9"/>
    <x v="9"/>
    <s v="ENT-18"/>
    <s v="User Management"/>
    <s v="Multi-device login"/>
    <s v="FR-UM-004"/>
    <x v="3"/>
    <s v="P2"/>
    <x v="2"/>
    <x v="11"/>
    <s v="ENT-05"/>
    <m/>
    <s v="Implement"/>
    <s v="—"/>
    <s v="SRS Part III"/>
    <m/>
    <m/>
    <m/>
    <m/>
    <d v="2026-09-24T00:00:00"/>
    <m/>
  </r>
  <r>
    <n v="244"/>
    <n v="9"/>
    <x v="9"/>
    <s v="ENT-19"/>
    <s v="Channels"/>
    <s v="Watchlists"/>
    <s v="BR-006"/>
    <x v="3"/>
    <s v="P1"/>
    <x v="2"/>
    <x v="11"/>
    <s v="ENT-08"/>
    <m/>
    <s v="Implement"/>
    <s v="—"/>
    <s v="BRD-004"/>
    <m/>
    <m/>
    <m/>
    <m/>
    <d v="2026-09-24T00:00:00"/>
    <m/>
  </r>
  <r>
    <n v="245"/>
    <n v="9"/>
    <x v="9"/>
    <s v="ENT-11"/>
    <s v="Channels"/>
    <s v="Per-user price &amp; AI alerts"/>
    <s v="FR-AL-001/002"/>
    <x v="3"/>
    <s v="P1"/>
    <x v="2"/>
    <x v="11"/>
    <s v="ENT-19"/>
    <s v="Owner-only Telegram"/>
    <s v="Implement"/>
    <s v="—"/>
    <s v="SRS Part III"/>
    <m/>
    <m/>
    <m/>
    <m/>
    <d v="2026-09-24T00:00:00"/>
    <m/>
  </r>
  <r>
    <n v="246"/>
    <n v="9"/>
    <x v="9"/>
    <s v="ENT-10"/>
    <s v="Channels"/>
    <s v="Notification channels"/>
    <s v="Push; SMS; email; WhatsApp; in-app (FR-AL-003)"/>
    <x v="3"/>
    <s v="P1"/>
    <x v="2"/>
    <x v="11"/>
    <s v="ENT-11"/>
    <s v="Telegram only"/>
    <s v="Implement"/>
    <s v="—"/>
    <s v="SRS Part III"/>
    <m/>
    <m/>
    <m/>
    <m/>
    <d v="2026-09-24T00:00:00"/>
    <m/>
  </r>
  <r>
    <n v="247"/>
    <n v="9"/>
    <x v="9"/>
    <s v="ENT-09"/>
    <s v="Channels"/>
    <s v="Mobile apps"/>
    <s v="Android + iOS"/>
    <x v="3"/>
    <s v="P1"/>
    <x v="2"/>
    <x v="11"/>
    <s v="API-03"/>
    <m/>
    <s v="Build apps"/>
    <s v="—"/>
    <s v="SRS 2"/>
    <m/>
    <m/>
    <m/>
    <m/>
    <d v="2026-09-24T00:00:00"/>
    <m/>
  </r>
  <r>
    <n v="248"/>
    <n v="9"/>
    <x v="9"/>
    <s v="API-03"/>
    <s v="APIs"/>
    <s v="Versioned public API"/>
    <s v="FR-API-001/003"/>
    <x v="3"/>
    <s v="P0"/>
    <x v="2"/>
    <x v="11"/>
    <s v="SEC-02"/>
    <m/>
    <s v="/v1 API with auth and rate limits"/>
    <s v="—"/>
    <s v="SRS Part III"/>
    <m/>
    <m/>
    <m/>
    <m/>
    <d v="2026-09-24T00:00:00"/>
    <m/>
  </r>
  <r>
    <n v="249"/>
    <n v="9"/>
    <x v="9"/>
    <s v="API-04"/>
    <s v="APIs"/>
    <s v="Webhooks"/>
    <s v="FR-API-002"/>
    <x v="3"/>
    <s v="P2"/>
    <x v="2"/>
    <x v="11"/>
    <s v="API-03"/>
    <m/>
    <s v="Implement"/>
    <s v="—"/>
    <s v="SRS Part III"/>
    <m/>
    <m/>
    <m/>
    <m/>
    <d v="2026-09-24T00:00:00"/>
    <m/>
  </r>
  <r>
    <n v="250"/>
    <n v="9"/>
    <x v="9"/>
    <s v="PF-12"/>
    <s v="Portfolio"/>
    <s v="Multi-broker import"/>
    <s v="Angel/Groww/Upstox/CSV (FR-PO-002)"/>
    <x v="3"/>
    <s v="P1"/>
    <x v="2"/>
    <x v="11"/>
    <s v="ENT-06"/>
    <m/>
    <s v="Importers"/>
    <s v="—"/>
    <s v="SRS Part III"/>
    <m/>
    <m/>
    <m/>
    <m/>
    <d v="2026-09-24T00:00:00"/>
    <m/>
  </r>
  <r>
    <n v="251"/>
    <n v="9"/>
    <x v="9"/>
    <s v="BR-07"/>
    <s v="Broker Integration"/>
    <s v="Additional brokers"/>
    <s v="Angel/Upstox/Groww trading"/>
    <x v="3"/>
    <s v="P1"/>
    <x v="2"/>
    <x v="11"/>
    <s v="ENT-06; BR-03"/>
    <m/>
    <s v="Adapters behind BR-03 interface"/>
    <s v="—"/>
    <s v="SRS Part III"/>
    <m/>
    <m/>
    <m/>
    <m/>
    <d v="2026-09-24T00:00:00"/>
    <m/>
  </r>
  <r>
    <n v="252"/>
    <n v="9"/>
    <x v="9"/>
    <s v="ENT-15"/>
    <s v="Execution"/>
    <s v="Multi-asset trading"/>
    <s v="MF; bonds; commodities; currency (FR-PO-003)"/>
    <x v="3"/>
    <s v="P2"/>
    <x v="2"/>
    <x v="11"/>
    <s v="DP-21; BR-07"/>
    <s v="Equity cash only"/>
    <s v="Asset-specific execution/risk adapters"/>
    <s v="—"/>
    <s v="BRD-001"/>
    <m/>
    <m/>
    <m/>
    <m/>
    <d v="2026-09-24T00:00:00"/>
    <m/>
  </r>
  <r>
    <n v="253"/>
    <n v="9"/>
    <x v="9"/>
    <s v="ENT-12"/>
    <s v="Reporting"/>
    <s v="Reports"/>
    <s v="Portfolio; tax; AI performance (FR-RP)"/>
    <x v="3"/>
    <s v="P1"/>
    <x v="2"/>
    <x v="11"/>
    <s v="PF-13"/>
    <m/>
    <s v="Report generation + export"/>
    <s v="—"/>
    <s v="SRS Part III"/>
    <m/>
    <m/>
    <m/>
    <m/>
    <d v="2026-09-24T00:00:00"/>
    <m/>
  </r>
  <r>
    <n v="254"/>
    <n v="9"/>
    <x v="9"/>
    <s v="ENT-13"/>
    <s v="Administration"/>
    <s v="Administration console"/>
    <s v="User admin; system config (FR-AD)"/>
    <x v="3"/>
    <s v="P1"/>
    <x v="2"/>
    <x v="11"/>
    <s v="SEC-02"/>
    <s v="config.json edited by hand"/>
    <s v="Admin console"/>
    <s v="—"/>
    <s v="SRS Part III"/>
    <m/>
    <m/>
    <m/>
    <m/>
    <d v="2026-09-24T00:00:00"/>
    <m/>
  </r>
  <r>
    <n v="255"/>
    <n v="9"/>
    <x v="9"/>
    <s v="SE-10"/>
    <s v="Strategy Engine"/>
    <s v="No/low-code strategy builder"/>
    <s v="FR-SB-001/002"/>
    <x v="3"/>
    <s v="P2"/>
    <x v="2"/>
    <x v="11"/>
    <s v="SE-01; ENT-08"/>
    <m/>
    <s v="Visual builder on SE-01 interface"/>
    <s v="—"/>
    <s v="SRS Part III"/>
    <m/>
    <m/>
    <m/>
    <m/>
    <d v="2026-09-24T00:00:00"/>
    <m/>
  </r>
  <r>
    <n v="256"/>
    <n v="9"/>
    <x v="9"/>
    <s v="ML-16"/>
    <s v="AI/ML"/>
    <s v="AI chat assistant"/>
    <s v="NL assistant (SRS)"/>
    <x v="3"/>
    <s v="P2"/>
    <x v="2"/>
    <x v="11"/>
    <s v="ENT-08"/>
    <m/>
    <s v="Implement"/>
    <s v="—"/>
    <s v="SRS 3"/>
    <m/>
    <m/>
    <m/>
    <m/>
    <d v="2026-09-24T00:00:00"/>
    <m/>
  </r>
  <r>
    <n v="257"/>
    <n v="9"/>
    <x v="9"/>
    <s v="OPS-04"/>
    <s v="Deployment/Ops"/>
    <s v="Cloud deployment"/>
    <s v="Docker/Kubernetes on cloud (SRS)"/>
    <x v="3"/>
    <s v="P0"/>
    <x v="2"/>
    <x v="11"/>
    <s v="DBS-05; ENT-07"/>
    <s v="Local Windows only"/>
    <s v="Containerise; IaC; environments"/>
    <s v="—"/>
    <s v="SRS 2"/>
    <m/>
    <m/>
    <m/>
    <m/>
    <d v="2026-09-24T00:00:00"/>
    <m/>
  </r>
  <r>
    <n v="258"/>
    <n v="9"/>
    <x v="9"/>
    <s v="ENT-16"/>
    <s v="Deployment/Ops"/>
    <s v="Scalability, HA &amp; observability"/>
    <s v="99.9%+ availability; horizontal scale; metrics/tracing"/>
    <x v="3"/>
    <s v="P1"/>
    <x v="2"/>
    <x v="11"/>
    <s v="OPS-04"/>
    <s v="Single process"/>
    <s v="HA design + SLOs"/>
    <s v="—"/>
    <s v="SRS 4"/>
    <m/>
    <m/>
    <m/>
    <m/>
    <d v="2026-09-24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D7059-027B-47AF-A316-EDDF4EE986D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G33" firstHeaderRow="1" firstDataRow="2" firstDataCol="1"/>
  <pivotFields count="22">
    <pivotField showAll="0"/>
    <pivotField showAll="0"/>
    <pivotField axis="axisRow" showAll="0">
      <items count="11">
        <item x="7"/>
        <item x="4"/>
        <item x="0"/>
        <item x="9"/>
        <item x="6"/>
        <item x="1"/>
        <item x="8"/>
        <item x="2"/>
        <item x="5"/>
        <item x="3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dataField="1" showAll="0">
      <items count="19">
        <item x="11"/>
        <item x="10"/>
        <item x="17"/>
        <item x="16"/>
        <item x="12"/>
        <item x="14"/>
        <item x="7"/>
        <item x="15"/>
        <item x="6"/>
        <item x="9"/>
        <item x="8"/>
        <item x="13"/>
        <item x="5"/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2">
    <field x="7"/>
    <field x="2"/>
  </rowFields>
  <rowItems count="29"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2"/>
    </i>
    <i r="1">
      <x v="4"/>
    </i>
    <i r="1">
      <x v="5"/>
    </i>
    <i r="1">
      <x v="7"/>
    </i>
    <i r="1">
      <x v="9"/>
    </i>
    <i>
      <x v="2"/>
    </i>
    <i r="1">
      <x v="3"/>
    </i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ompletion %2" fld="10" baseField="0" baseItem="0"/>
  </dataFields>
  <formats count="26">
    <format dxfId="181">
      <pivotArea type="all" dataOnly="0" outline="0" fieldPosition="0"/>
    </format>
    <format dxfId="180">
      <pivotArea type="all" dataOnly="0" outline="0" fieldPosition="0"/>
    </format>
    <format dxfId="179">
      <pivotArea collapsedLevelsAreSubtotals="1" fieldPosition="0">
        <references count="2">
          <reference field="2" count="1">
            <x v="2"/>
          </reference>
          <reference field="7" count="1" selected="0">
            <x v="1"/>
          </reference>
        </references>
      </pivotArea>
    </format>
    <format dxfId="178">
      <pivotArea dataOnly="0" labelOnly="1" fieldPosition="0">
        <references count="2">
          <reference field="2" count="1">
            <x v="2"/>
          </reference>
          <reference field="7" count="1" selected="0">
            <x v="1"/>
          </reference>
        </references>
      </pivotArea>
    </format>
    <format dxfId="177">
      <pivotArea collapsedLevelsAreSubtotals="1" fieldPosition="0">
        <references count="2">
          <reference field="2" count="1">
            <x v="7"/>
          </reference>
          <reference field="7" count="1" selected="0">
            <x v="1"/>
          </reference>
        </references>
      </pivotArea>
    </format>
    <format dxfId="176">
      <pivotArea dataOnly="0" labelOnly="1" fieldPosition="0">
        <references count="2">
          <reference field="2" count="1">
            <x v="7"/>
          </reference>
          <reference field="7" count="1" selected="0">
            <x v="1"/>
          </reference>
        </references>
      </pivotArea>
    </format>
    <format dxfId="175">
      <pivotArea collapsedLevelsAreSubtotals="1" fieldPosition="0">
        <references count="2">
          <reference field="2" count="1">
            <x v="2"/>
          </reference>
          <reference field="7" count="1" selected="0">
            <x v="3"/>
          </reference>
        </references>
      </pivotArea>
    </format>
    <format dxfId="174">
      <pivotArea dataOnly="0" labelOnly="1" fieldPosition="0">
        <references count="2">
          <reference field="2" count="1">
            <x v="2"/>
          </reference>
          <reference field="7" count="1" selected="0">
            <x v="3"/>
          </reference>
        </references>
      </pivotArea>
    </format>
    <format dxfId="173">
      <pivotArea collapsedLevelsAreSubtotals="1" fieldPosition="0">
        <references count="2">
          <reference field="2" count="1">
            <x v="2"/>
          </reference>
          <reference field="7" count="1" selected="0">
            <x v="0"/>
          </reference>
        </references>
      </pivotArea>
    </format>
    <format dxfId="172">
      <pivotArea dataOnly="0" labelOnly="1" fieldPosition="0">
        <references count="2">
          <reference field="2" count="1">
            <x v="2"/>
          </reference>
          <reference field="7" count="1" selected="0">
            <x v="0"/>
          </reference>
        </references>
      </pivotArea>
    </format>
    <format dxfId="171">
      <pivotArea collapsedLevelsAreSubtotals="1" fieldPosition="0">
        <references count="2">
          <reference field="2" count="1">
            <x v="5"/>
          </reference>
          <reference field="7" count="1" selected="0">
            <x v="1"/>
          </reference>
        </references>
      </pivotArea>
    </format>
    <format dxfId="170">
      <pivotArea dataOnly="0" labelOnly="1" fieldPosition="0">
        <references count="2">
          <reference field="2" count="1">
            <x v="5"/>
          </reference>
          <reference field="7" count="1" selected="0">
            <x v="1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type="origin" dataOnly="0" labelOnly="1" outline="0" fieldPosition="0"/>
    </format>
    <format dxfId="166">
      <pivotArea field="9" type="button" dataOnly="0" labelOnly="1" outline="0" axis="axisCol" fieldPosition="0"/>
    </format>
    <format dxfId="165">
      <pivotArea type="topRight" dataOnly="0" labelOnly="1" outline="0" fieldPosition="0"/>
    </format>
    <format dxfId="164">
      <pivotArea field="7" type="button" dataOnly="0" labelOnly="1" outline="0" axis="axisRow" fieldPosition="0"/>
    </format>
    <format dxfId="163">
      <pivotArea dataOnly="0" labelOnly="1" fieldPosition="0">
        <references count="1">
          <reference field="7" count="0"/>
        </references>
      </pivotArea>
    </format>
    <format dxfId="162">
      <pivotArea dataOnly="0" labelOnly="1" grandRow="1" outline="0" fieldPosition="0"/>
    </format>
    <format dxfId="161">
      <pivotArea dataOnly="0" labelOnly="1" fieldPosition="0">
        <references count="2">
          <reference field="2" count="9">
            <x v="0"/>
            <x v="1"/>
            <x v="2"/>
            <x v="4"/>
            <x v="5"/>
            <x v="6"/>
            <x v="7"/>
            <x v="8"/>
            <x v="9"/>
          </reference>
          <reference field="7" count="1" selected="0">
            <x v="0"/>
          </reference>
        </references>
      </pivotArea>
    </format>
    <format dxfId="160">
      <pivotArea dataOnly="0" labelOnly="1" fieldPosition="0">
        <references count="2">
          <reference field="2" count="5">
            <x v="2"/>
            <x v="4"/>
            <x v="5"/>
            <x v="7"/>
            <x v="9"/>
          </reference>
          <reference field="7" count="1" selected="0">
            <x v="1"/>
          </reference>
        </references>
      </pivotArea>
    </format>
    <format dxfId="159">
      <pivotArea dataOnly="0" labelOnly="1" fieldPosition="0">
        <references count="2">
          <reference field="2" count="1">
            <x v="3"/>
          </reference>
          <reference field="7" count="1" selected="0">
            <x v="2"/>
          </reference>
        </references>
      </pivotArea>
    </format>
    <format dxfId="158">
      <pivotArea dataOnly="0" labelOnly="1" fieldPosition="0">
        <references count="2">
          <reference field="2" count="9">
            <x v="0"/>
            <x v="1"/>
            <x v="2"/>
            <x v="4"/>
            <x v="5"/>
            <x v="6"/>
            <x v="7"/>
            <x v="8"/>
            <x v="9"/>
          </reference>
          <reference field="7" count="1" selected="0">
            <x v="3"/>
          </reference>
        </references>
      </pivotArea>
    </format>
    <format dxfId="157">
      <pivotArea dataOnly="0" labelOnly="1" fieldPosition="0">
        <references count="1">
          <reference field="9" count="0"/>
        </references>
      </pivotArea>
    </format>
    <format dxfId="1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D7E8-748A-4AA6-AB6B-80554AAB933D}">
  <dimension ref="B2:J33"/>
  <sheetViews>
    <sheetView tabSelected="1" zoomScale="90" zoomScaleNormal="9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B11" sqref="B6:B14 B16:B20 B22 B24:B32"/>
      <pivotSelection showHeader="1" axis="axisRow" dimension="1" activeRow="10" activeCol="1" previousRow="10" previousCol="1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2" max="2" width="42.44140625" bestFit="1" customWidth="1"/>
    <col min="3" max="3" width="16.109375" bestFit="1" customWidth="1"/>
    <col min="4" max="4" width="13" bestFit="1" customWidth="1"/>
    <col min="5" max="5" width="9.21875" bestFit="1" customWidth="1"/>
    <col min="6" max="6" width="13.109375" bestFit="1" customWidth="1"/>
    <col min="7" max="7" width="11.21875" bestFit="1" customWidth="1"/>
    <col min="8" max="9" width="12.109375" bestFit="1" customWidth="1"/>
    <col min="10" max="10" width="12.21875" bestFit="1" customWidth="1"/>
    <col min="11" max="16" width="4" bestFit="1" customWidth="1"/>
    <col min="17" max="18" width="5" bestFit="1" customWidth="1"/>
    <col min="19" max="20" width="4" bestFit="1" customWidth="1"/>
    <col min="21" max="21" width="10.77734375" bestFit="1" customWidth="1"/>
  </cols>
  <sheetData>
    <row r="2" spans="2:10" ht="15" thickBot="1" x14ac:dyDescent="0.35"/>
    <row r="3" spans="2:10" ht="15" thickBot="1" x14ac:dyDescent="0.35">
      <c r="B3" s="31" t="s">
        <v>1657</v>
      </c>
      <c r="C3" s="31" t="s">
        <v>494</v>
      </c>
      <c r="D3" s="32"/>
      <c r="E3" s="33"/>
      <c r="F3" s="33"/>
      <c r="G3" s="34"/>
      <c r="H3" s="12"/>
      <c r="I3" s="12"/>
      <c r="J3" s="13"/>
    </row>
    <row r="4" spans="2:10" ht="15" thickBot="1" x14ac:dyDescent="0.35">
      <c r="B4" s="31" t="s">
        <v>495</v>
      </c>
      <c r="C4" s="32" t="s">
        <v>496</v>
      </c>
      <c r="D4" s="33" t="s">
        <v>497</v>
      </c>
      <c r="E4" s="33" t="s">
        <v>498</v>
      </c>
      <c r="F4" s="34" t="s">
        <v>499</v>
      </c>
      <c r="G4" s="41" t="s">
        <v>500</v>
      </c>
      <c r="H4" s="7" t="s">
        <v>1658</v>
      </c>
      <c r="I4" s="7" t="s">
        <v>1659</v>
      </c>
      <c r="J4" s="14" t="s">
        <v>1660</v>
      </c>
    </row>
    <row r="5" spans="2:10" ht="15" thickBot="1" x14ac:dyDescent="0.35">
      <c r="B5" s="35" t="s">
        <v>538</v>
      </c>
      <c r="C5" s="25">
        <v>3890</v>
      </c>
      <c r="D5" s="26">
        <v>2125</v>
      </c>
      <c r="E5" s="26">
        <v>30</v>
      </c>
      <c r="F5" s="26">
        <v>45</v>
      </c>
      <c r="G5" s="27">
        <v>6090</v>
      </c>
      <c r="H5" s="10">
        <f>IF($G5=0,0,$C5/$G5)</f>
        <v>0.63875205254515599</v>
      </c>
      <c r="I5" s="8">
        <f>IF($G5=0,0,$D5/$G5)</f>
        <v>0.34893267651888343</v>
      </c>
      <c r="J5" s="15">
        <f>IF($G5=0,0,$F5/$G5)</f>
        <v>7.3891625615763543E-3</v>
      </c>
    </row>
    <row r="6" spans="2:10" x14ac:dyDescent="0.3">
      <c r="B6" s="36" t="s">
        <v>54</v>
      </c>
      <c r="C6" s="28"/>
      <c r="D6" s="6"/>
      <c r="E6" s="6"/>
      <c r="F6" s="6">
        <v>0</v>
      </c>
      <c r="G6" s="22">
        <v>0</v>
      </c>
      <c r="H6" s="8">
        <f t="shared" ref="H6:H33" si="0">IF($G6=0,0,$C6/$G6)</f>
        <v>0</v>
      </c>
      <c r="I6" s="8">
        <f t="shared" ref="I6:I33" si="1">IF($G6=0,0,$D6/$G6)</f>
        <v>0</v>
      </c>
      <c r="J6" s="15">
        <f t="shared" ref="J6:J33" si="2">IF($G6=0,0,$F6/$G6)</f>
        <v>0</v>
      </c>
    </row>
    <row r="7" spans="2:10" x14ac:dyDescent="0.3">
      <c r="B7" s="37" t="s">
        <v>48</v>
      </c>
      <c r="C7" s="28"/>
      <c r="D7" s="6">
        <v>295</v>
      </c>
      <c r="E7" s="6"/>
      <c r="F7" s="6">
        <v>0</v>
      </c>
      <c r="G7" s="22">
        <v>295</v>
      </c>
      <c r="H7" s="8">
        <f t="shared" si="0"/>
        <v>0</v>
      </c>
      <c r="I7" s="8">
        <f t="shared" si="1"/>
        <v>1</v>
      </c>
      <c r="J7" s="15">
        <f t="shared" si="2"/>
        <v>0</v>
      </c>
    </row>
    <row r="8" spans="2:10" x14ac:dyDescent="0.3">
      <c r="B8" s="38" t="s">
        <v>501</v>
      </c>
      <c r="C8" s="29">
        <v>3170</v>
      </c>
      <c r="D8" s="9"/>
      <c r="E8" s="9"/>
      <c r="F8" s="9"/>
      <c r="G8" s="23">
        <v>3170</v>
      </c>
      <c r="H8" s="10">
        <f t="shared" si="0"/>
        <v>1</v>
      </c>
      <c r="I8" s="10">
        <f t="shared" si="1"/>
        <v>0</v>
      </c>
      <c r="J8" s="16">
        <f t="shared" si="2"/>
        <v>0</v>
      </c>
    </row>
    <row r="9" spans="2:10" x14ac:dyDescent="0.3">
      <c r="B9" s="37" t="s">
        <v>207</v>
      </c>
      <c r="C9" s="28"/>
      <c r="D9" s="6">
        <v>245</v>
      </c>
      <c r="E9" s="6">
        <v>0</v>
      </c>
      <c r="F9" s="6"/>
      <c r="G9" s="22">
        <v>245</v>
      </c>
      <c r="H9" s="8">
        <f t="shared" si="0"/>
        <v>0</v>
      </c>
      <c r="I9" s="11">
        <f t="shared" si="1"/>
        <v>1</v>
      </c>
      <c r="J9" s="15">
        <f t="shared" si="2"/>
        <v>0</v>
      </c>
    </row>
    <row r="10" spans="2:10" x14ac:dyDescent="0.3">
      <c r="B10" s="37" t="s">
        <v>78</v>
      </c>
      <c r="C10" s="28">
        <v>415</v>
      </c>
      <c r="D10" s="6">
        <v>485</v>
      </c>
      <c r="E10" s="6">
        <v>30</v>
      </c>
      <c r="F10" s="6"/>
      <c r="G10" s="22">
        <v>930</v>
      </c>
      <c r="H10" s="8">
        <f t="shared" si="0"/>
        <v>0.44623655913978494</v>
      </c>
      <c r="I10" s="8">
        <f t="shared" si="1"/>
        <v>0.521505376344086</v>
      </c>
      <c r="J10" s="15">
        <f t="shared" si="2"/>
        <v>0</v>
      </c>
    </row>
    <row r="11" spans="2:10" x14ac:dyDescent="0.3">
      <c r="B11" s="37" t="s">
        <v>65</v>
      </c>
      <c r="C11" s="28"/>
      <c r="D11" s="6">
        <v>45</v>
      </c>
      <c r="E11" s="6"/>
      <c r="F11" s="6">
        <v>15</v>
      </c>
      <c r="G11" s="22">
        <v>60</v>
      </c>
      <c r="H11" s="8">
        <f t="shared" si="0"/>
        <v>0</v>
      </c>
      <c r="I11" s="11">
        <f t="shared" si="1"/>
        <v>0.75</v>
      </c>
      <c r="J11" s="15">
        <f t="shared" si="2"/>
        <v>0.25</v>
      </c>
    </row>
    <row r="12" spans="2:10" x14ac:dyDescent="0.3">
      <c r="B12" s="37" t="s">
        <v>509</v>
      </c>
      <c r="C12" s="28">
        <v>235</v>
      </c>
      <c r="D12" s="6">
        <v>800</v>
      </c>
      <c r="E12" s="6"/>
      <c r="F12" s="6">
        <v>15</v>
      </c>
      <c r="G12" s="22">
        <v>1050</v>
      </c>
      <c r="H12" s="8">
        <f t="shared" si="0"/>
        <v>0.22380952380952382</v>
      </c>
      <c r="I12" s="11">
        <f t="shared" si="1"/>
        <v>0.76190476190476186</v>
      </c>
      <c r="J12" s="15">
        <f t="shared" si="2"/>
        <v>1.4285714285714285E-2</v>
      </c>
    </row>
    <row r="13" spans="2:10" x14ac:dyDescent="0.3">
      <c r="B13" s="37" t="s">
        <v>512</v>
      </c>
      <c r="C13" s="28"/>
      <c r="D13" s="6">
        <v>70</v>
      </c>
      <c r="E13" s="6"/>
      <c r="F13" s="6">
        <v>5</v>
      </c>
      <c r="G13" s="22">
        <v>75</v>
      </c>
      <c r="H13" s="8">
        <f t="shared" si="0"/>
        <v>0</v>
      </c>
      <c r="I13" s="11">
        <f t="shared" si="1"/>
        <v>0.93333333333333335</v>
      </c>
      <c r="J13" s="15">
        <f t="shared" si="2"/>
        <v>6.6666666666666666E-2</v>
      </c>
    </row>
    <row r="14" spans="2:10" ht="15" thickBot="1" x14ac:dyDescent="0.35">
      <c r="B14" s="39" t="s">
        <v>36</v>
      </c>
      <c r="C14" s="28">
        <v>70</v>
      </c>
      <c r="D14" s="6">
        <v>185</v>
      </c>
      <c r="E14" s="6"/>
      <c r="F14" s="6">
        <v>10</v>
      </c>
      <c r="G14" s="22">
        <v>265</v>
      </c>
      <c r="H14" s="8">
        <f t="shared" si="0"/>
        <v>0.26415094339622641</v>
      </c>
      <c r="I14" s="11">
        <f t="shared" si="1"/>
        <v>0.69811320754716977</v>
      </c>
      <c r="J14" s="15">
        <f t="shared" si="2"/>
        <v>3.7735849056603772E-2</v>
      </c>
    </row>
    <row r="15" spans="2:10" ht="15" thickBot="1" x14ac:dyDescent="0.35">
      <c r="B15" s="35" t="s">
        <v>546</v>
      </c>
      <c r="C15" s="28">
        <v>1145</v>
      </c>
      <c r="D15" s="6">
        <v>240</v>
      </c>
      <c r="E15" s="6"/>
      <c r="F15" s="6">
        <v>5</v>
      </c>
      <c r="G15" s="22">
        <v>1390</v>
      </c>
      <c r="H15" s="10">
        <f t="shared" si="0"/>
        <v>0.82374100719424459</v>
      </c>
      <c r="I15" s="8">
        <f t="shared" si="1"/>
        <v>0.17266187050359713</v>
      </c>
      <c r="J15" s="15">
        <f t="shared" si="2"/>
        <v>3.5971223021582736E-3</v>
      </c>
    </row>
    <row r="16" spans="2:10" x14ac:dyDescent="0.3">
      <c r="B16" s="42" t="s">
        <v>501</v>
      </c>
      <c r="C16" s="29">
        <v>920</v>
      </c>
      <c r="D16" s="9"/>
      <c r="E16" s="9"/>
      <c r="F16" s="9"/>
      <c r="G16" s="23">
        <v>920</v>
      </c>
      <c r="H16" s="10">
        <f t="shared" si="0"/>
        <v>1</v>
      </c>
      <c r="I16" s="8">
        <f t="shared" si="1"/>
        <v>0</v>
      </c>
      <c r="J16" s="15">
        <f t="shared" si="2"/>
        <v>0</v>
      </c>
    </row>
    <row r="17" spans="2:10" x14ac:dyDescent="0.3">
      <c r="B17" s="37" t="s">
        <v>207</v>
      </c>
      <c r="C17" s="28"/>
      <c r="D17" s="6">
        <v>30</v>
      </c>
      <c r="E17" s="6"/>
      <c r="F17" s="6"/>
      <c r="G17" s="22">
        <v>30</v>
      </c>
      <c r="H17" s="8">
        <f t="shared" si="0"/>
        <v>0</v>
      </c>
      <c r="I17" s="8">
        <f t="shared" si="1"/>
        <v>1</v>
      </c>
      <c r="J17" s="15">
        <f t="shared" si="2"/>
        <v>0</v>
      </c>
    </row>
    <row r="18" spans="2:10" x14ac:dyDescent="0.3">
      <c r="B18" s="38" t="s">
        <v>78</v>
      </c>
      <c r="C18" s="29">
        <v>155</v>
      </c>
      <c r="D18" s="9">
        <v>130</v>
      </c>
      <c r="E18" s="9"/>
      <c r="F18" s="9">
        <v>5</v>
      </c>
      <c r="G18" s="23">
        <v>290</v>
      </c>
      <c r="H18" s="10">
        <f t="shared" si="0"/>
        <v>0.53448275862068961</v>
      </c>
      <c r="I18" s="8">
        <f t="shared" si="1"/>
        <v>0.44827586206896552</v>
      </c>
      <c r="J18" s="15">
        <f t="shared" si="2"/>
        <v>1.7241379310344827E-2</v>
      </c>
    </row>
    <row r="19" spans="2:10" x14ac:dyDescent="0.3">
      <c r="B19" s="38" t="s">
        <v>509</v>
      </c>
      <c r="C19" s="29">
        <v>70</v>
      </c>
      <c r="D19" s="9">
        <v>20</v>
      </c>
      <c r="E19" s="9"/>
      <c r="F19" s="9"/>
      <c r="G19" s="23">
        <v>90</v>
      </c>
      <c r="H19" s="10">
        <f t="shared" si="0"/>
        <v>0.77777777777777779</v>
      </c>
      <c r="I19" s="8">
        <f t="shared" si="1"/>
        <v>0.22222222222222221</v>
      </c>
      <c r="J19" s="15">
        <f t="shared" si="2"/>
        <v>0</v>
      </c>
    </row>
    <row r="20" spans="2:10" ht="15" thickBot="1" x14ac:dyDescent="0.35">
      <c r="B20" s="39" t="s">
        <v>36</v>
      </c>
      <c r="C20" s="28"/>
      <c r="D20" s="6">
        <v>60</v>
      </c>
      <c r="E20" s="6"/>
      <c r="F20" s="6"/>
      <c r="G20" s="22">
        <v>60</v>
      </c>
      <c r="H20" s="8">
        <f t="shared" si="0"/>
        <v>0</v>
      </c>
      <c r="I20" s="11">
        <f t="shared" si="1"/>
        <v>1</v>
      </c>
      <c r="J20" s="15">
        <f t="shared" si="2"/>
        <v>0</v>
      </c>
    </row>
    <row r="21" spans="2:10" ht="15" thickBot="1" x14ac:dyDescent="0.35">
      <c r="B21" s="35" t="s">
        <v>1545</v>
      </c>
      <c r="C21" s="28"/>
      <c r="D21" s="6"/>
      <c r="E21" s="6"/>
      <c r="F21" s="6">
        <v>0</v>
      </c>
      <c r="G21" s="22">
        <v>0</v>
      </c>
      <c r="H21" s="8">
        <f t="shared" si="0"/>
        <v>0</v>
      </c>
      <c r="I21" s="8">
        <f t="shared" si="1"/>
        <v>0</v>
      </c>
      <c r="J21" s="15">
        <f t="shared" si="2"/>
        <v>0</v>
      </c>
    </row>
    <row r="22" spans="2:10" ht="15" thickBot="1" x14ac:dyDescent="0.35">
      <c r="B22" s="40" t="s">
        <v>502</v>
      </c>
      <c r="C22" s="28"/>
      <c r="D22" s="6"/>
      <c r="E22" s="6"/>
      <c r="F22" s="6">
        <v>0</v>
      </c>
      <c r="G22" s="22">
        <v>0</v>
      </c>
      <c r="H22" s="8">
        <f t="shared" si="0"/>
        <v>0</v>
      </c>
      <c r="I22" s="8">
        <f t="shared" si="1"/>
        <v>0</v>
      </c>
      <c r="J22" s="15">
        <f t="shared" si="2"/>
        <v>0</v>
      </c>
    </row>
    <row r="23" spans="2:10" ht="15" thickBot="1" x14ac:dyDescent="0.35">
      <c r="B23" s="35" t="s">
        <v>668</v>
      </c>
      <c r="C23" s="28">
        <v>595</v>
      </c>
      <c r="D23" s="6">
        <v>265</v>
      </c>
      <c r="E23" s="6"/>
      <c r="F23" s="6">
        <v>105</v>
      </c>
      <c r="G23" s="22">
        <v>965</v>
      </c>
      <c r="H23" s="8">
        <f t="shared" si="0"/>
        <v>0.61658031088082899</v>
      </c>
      <c r="I23" s="8">
        <f t="shared" si="1"/>
        <v>0.27461139896373055</v>
      </c>
      <c r="J23" s="15">
        <f t="shared" si="2"/>
        <v>0.10880829015544041</v>
      </c>
    </row>
    <row r="24" spans="2:10" x14ac:dyDescent="0.3">
      <c r="B24" s="36" t="s">
        <v>54</v>
      </c>
      <c r="C24" s="28"/>
      <c r="D24" s="6"/>
      <c r="E24" s="6"/>
      <c r="F24" s="6">
        <v>30</v>
      </c>
      <c r="G24" s="22">
        <v>30</v>
      </c>
      <c r="H24" s="8">
        <f t="shared" si="0"/>
        <v>0</v>
      </c>
      <c r="I24" s="8">
        <f t="shared" si="1"/>
        <v>0</v>
      </c>
      <c r="J24" s="17">
        <f t="shared" si="2"/>
        <v>1</v>
      </c>
    </row>
    <row r="25" spans="2:10" x14ac:dyDescent="0.3">
      <c r="B25" s="37" t="s">
        <v>48</v>
      </c>
      <c r="C25" s="28"/>
      <c r="D25" s="6"/>
      <c r="E25" s="6"/>
      <c r="F25" s="6">
        <v>5</v>
      </c>
      <c r="G25" s="22">
        <v>5</v>
      </c>
      <c r="H25" s="8">
        <f t="shared" si="0"/>
        <v>0</v>
      </c>
      <c r="I25" s="8">
        <f t="shared" si="1"/>
        <v>0</v>
      </c>
      <c r="J25" s="17">
        <f t="shared" si="2"/>
        <v>1</v>
      </c>
    </row>
    <row r="26" spans="2:10" x14ac:dyDescent="0.3">
      <c r="B26" s="38" t="s">
        <v>501</v>
      </c>
      <c r="C26" s="29">
        <v>515</v>
      </c>
      <c r="D26" s="9"/>
      <c r="E26" s="9"/>
      <c r="F26" s="9"/>
      <c r="G26" s="23">
        <v>515</v>
      </c>
      <c r="H26" s="10">
        <f t="shared" si="0"/>
        <v>1</v>
      </c>
      <c r="I26" s="10">
        <f t="shared" si="1"/>
        <v>0</v>
      </c>
      <c r="J26" s="16">
        <f t="shared" si="2"/>
        <v>0</v>
      </c>
    </row>
    <row r="27" spans="2:10" x14ac:dyDescent="0.3">
      <c r="B27" s="37" t="s">
        <v>207</v>
      </c>
      <c r="C27" s="28"/>
      <c r="D27" s="6">
        <v>40</v>
      </c>
      <c r="E27" s="6"/>
      <c r="F27" s="6">
        <v>5</v>
      </c>
      <c r="G27" s="22">
        <v>45</v>
      </c>
      <c r="H27" s="8">
        <f t="shared" si="0"/>
        <v>0</v>
      </c>
      <c r="I27" s="11">
        <f t="shared" si="1"/>
        <v>0.88888888888888884</v>
      </c>
      <c r="J27" s="15">
        <f t="shared" si="2"/>
        <v>0.1111111111111111</v>
      </c>
    </row>
    <row r="28" spans="2:10" x14ac:dyDescent="0.3">
      <c r="B28" s="37" t="s">
        <v>78</v>
      </c>
      <c r="C28" s="28"/>
      <c r="D28" s="6">
        <v>35</v>
      </c>
      <c r="E28" s="6"/>
      <c r="F28" s="6">
        <v>0</v>
      </c>
      <c r="G28" s="22">
        <v>35</v>
      </c>
      <c r="H28" s="8">
        <f t="shared" si="0"/>
        <v>0</v>
      </c>
      <c r="I28" s="11">
        <f t="shared" si="1"/>
        <v>1</v>
      </c>
      <c r="J28" s="15">
        <f t="shared" si="2"/>
        <v>0</v>
      </c>
    </row>
    <row r="29" spans="2:10" x14ac:dyDescent="0.3">
      <c r="B29" s="37" t="s">
        <v>65</v>
      </c>
      <c r="C29" s="28"/>
      <c r="D29" s="6"/>
      <c r="E29" s="6"/>
      <c r="F29" s="6">
        <v>0</v>
      </c>
      <c r="G29" s="22">
        <v>0</v>
      </c>
      <c r="H29" s="8">
        <f t="shared" si="0"/>
        <v>0</v>
      </c>
      <c r="I29" s="8">
        <f t="shared" si="1"/>
        <v>0</v>
      </c>
      <c r="J29" s="15">
        <f t="shared" si="2"/>
        <v>0</v>
      </c>
    </row>
    <row r="30" spans="2:10" x14ac:dyDescent="0.3">
      <c r="B30" s="37" t="s">
        <v>509</v>
      </c>
      <c r="C30" s="28"/>
      <c r="D30" s="6">
        <v>155</v>
      </c>
      <c r="E30" s="6"/>
      <c r="F30" s="6">
        <v>35</v>
      </c>
      <c r="G30" s="22">
        <v>190</v>
      </c>
      <c r="H30" s="8">
        <f t="shared" si="0"/>
        <v>0</v>
      </c>
      <c r="I30" s="11">
        <f t="shared" si="1"/>
        <v>0.81578947368421051</v>
      </c>
      <c r="J30" s="15">
        <f t="shared" si="2"/>
        <v>0.18421052631578946</v>
      </c>
    </row>
    <row r="31" spans="2:10" x14ac:dyDescent="0.3">
      <c r="B31" s="37" t="s">
        <v>512</v>
      </c>
      <c r="C31" s="28">
        <v>80</v>
      </c>
      <c r="D31" s="6"/>
      <c r="E31" s="6"/>
      <c r="F31" s="6">
        <v>15</v>
      </c>
      <c r="G31" s="22">
        <v>95</v>
      </c>
      <c r="H31" s="10">
        <f t="shared" si="0"/>
        <v>0.84210526315789469</v>
      </c>
      <c r="I31" s="8">
        <f t="shared" si="1"/>
        <v>0</v>
      </c>
      <c r="J31" s="15">
        <f t="shared" si="2"/>
        <v>0.15789473684210525</v>
      </c>
    </row>
    <row r="32" spans="2:10" ht="15" thickBot="1" x14ac:dyDescent="0.35">
      <c r="B32" s="39" t="s">
        <v>36</v>
      </c>
      <c r="C32" s="28"/>
      <c r="D32" s="6">
        <v>35</v>
      </c>
      <c r="E32" s="6"/>
      <c r="F32" s="6">
        <v>15</v>
      </c>
      <c r="G32" s="22">
        <v>50</v>
      </c>
      <c r="H32" s="8">
        <f t="shared" si="0"/>
        <v>0</v>
      </c>
      <c r="I32" s="11">
        <f t="shared" si="1"/>
        <v>0.7</v>
      </c>
      <c r="J32" s="15">
        <f t="shared" si="2"/>
        <v>0.3</v>
      </c>
    </row>
    <row r="33" spans="2:10" ht="15" thickBot="1" x14ac:dyDescent="0.35">
      <c r="B33" s="35" t="s">
        <v>500</v>
      </c>
      <c r="C33" s="30">
        <v>5630</v>
      </c>
      <c r="D33" s="18">
        <v>2630</v>
      </c>
      <c r="E33" s="18">
        <v>30</v>
      </c>
      <c r="F33" s="18">
        <v>155</v>
      </c>
      <c r="G33" s="24">
        <v>8445</v>
      </c>
      <c r="H33" s="19">
        <f t="shared" si="0"/>
        <v>0.66666666666666663</v>
      </c>
      <c r="I33" s="20">
        <f t="shared" si="1"/>
        <v>0.31142687981053879</v>
      </c>
      <c r="J33" s="21">
        <f t="shared" si="2"/>
        <v>1.8354055654233273E-2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24" customWidth="1"/>
    <col min="2" max="2" width="110" customWidth="1"/>
  </cols>
  <sheetData>
    <row r="1" spans="1:2" ht="28.8" x14ac:dyDescent="0.3">
      <c r="A1" s="1" t="s">
        <v>0</v>
      </c>
      <c r="B1" s="2"/>
    </row>
    <row r="2" spans="1:2" ht="28.8" x14ac:dyDescent="0.3">
      <c r="A2" s="1" t="s">
        <v>1</v>
      </c>
      <c r="B2" s="2" t="s">
        <v>2</v>
      </c>
    </row>
    <row r="3" spans="1:2" ht="28.8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ht="28.8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2" customWidth="1"/>
    <col min="2" max="2" width="25" customWidth="1"/>
    <col min="3" max="3" width="45" customWidth="1"/>
    <col min="4" max="4" width="29" customWidth="1"/>
    <col min="5" max="5" width="12" customWidth="1"/>
    <col min="6" max="6" width="43" customWidth="1"/>
    <col min="7" max="7" width="45" customWidth="1"/>
  </cols>
  <sheetData>
    <row r="1" spans="1:7" ht="30" customHeigh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ht="28.8" x14ac:dyDescent="0.3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</row>
    <row r="3" spans="1:7" ht="43.2" x14ac:dyDescent="0.3">
      <c r="A3" s="4" t="s">
        <v>29</v>
      </c>
      <c r="B3" s="4" t="s">
        <v>30</v>
      </c>
      <c r="C3" s="4" t="s">
        <v>31</v>
      </c>
      <c r="D3" s="4" t="s">
        <v>32</v>
      </c>
      <c r="E3" s="4" t="s">
        <v>26</v>
      </c>
      <c r="F3" s="4" t="s">
        <v>33</v>
      </c>
      <c r="G3" s="4" t="s">
        <v>34</v>
      </c>
    </row>
    <row r="4" spans="1:7" ht="28.8" x14ac:dyDescent="0.3">
      <c r="A4" s="4" t="s">
        <v>35</v>
      </c>
      <c r="B4" s="4" t="s">
        <v>36</v>
      </c>
      <c r="C4" s="4" t="s">
        <v>37</v>
      </c>
      <c r="D4" s="4" t="s">
        <v>38</v>
      </c>
      <c r="E4" s="4" t="s">
        <v>26</v>
      </c>
      <c r="F4" s="4" t="s">
        <v>39</v>
      </c>
      <c r="G4" s="4" t="s">
        <v>40</v>
      </c>
    </row>
    <row r="5" spans="1:7" ht="28.8" x14ac:dyDescent="0.3">
      <c r="A5" s="4" t="s">
        <v>41</v>
      </c>
      <c r="B5" s="4" t="s">
        <v>42</v>
      </c>
      <c r="C5" s="4" t="s">
        <v>43</v>
      </c>
      <c r="D5" s="4" t="s">
        <v>44</v>
      </c>
      <c r="E5" s="4" t="s">
        <v>26</v>
      </c>
      <c r="F5" s="4" t="s">
        <v>45</v>
      </c>
      <c r="G5" s="4" t="s">
        <v>46</v>
      </c>
    </row>
    <row r="6" spans="1:7" ht="28.8" x14ac:dyDescent="0.3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48</v>
      </c>
    </row>
    <row r="7" spans="1:7" ht="43.2" x14ac:dyDescent="0.3">
      <c r="A7" s="4" t="s">
        <v>53</v>
      </c>
      <c r="B7" s="4" t="s">
        <v>54</v>
      </c>
      <c r="C7" s="4" t="s">
        <v>55</v>
      </c>
      <c r="D7" s="4" t="s">
        <v>56</v>
      </c>
      <c r="E7" s="4" t="s">
        <v>51</v>
      </c>
      <c r="F7" s="4" t="s">
        <v>57</v>
      </c>
      <c r="G7" s="4" t="s">
        <v>54</v>
      </c>
    </row>
    <row r="8" spans="1:7" ht="28.8" x14ac:dyDescent="0.3">
      <c r="A8" s="4" t="s">
        <v>58</v>
      </c>
      <c r="B8" s="4" t="s">
        <v>59</v>
      </c>
      <c r="C8" s="4" t="s">
        <v>60</v>
      </c>
      <c r="D8" s="4" t="s">
        <v>61</v>
      </c>
      <c r="E8" s="4" t="s">
        <v>51</v>
      </c>
      <c r="F8" s="4" t="s">
        <v>62</v>
      </c>
      <c r="G8" s="4" t="s">
        <v>63</v>
      </c>
    </row>
    <row r="9" spans="1:7" ht="28.8" x14ac:dyDescent="0.3">
      <c r="A9" s="4" t="s">
        <v>64</v>
      </c>
      <c r="B9" s="4" t="s">
        <v>65</v>
      </c>
      <c r="C9" s="4" t="s">
        <v>66</v>
      </c>
      <c r="D9" s="4" t="s">
        <v>67</v>
      </c>
      <c r="E9" s="4" t="s">
        <v>26</v>
      </c>
      <c r="F9" s="4" t="s">
        <v>68</v>
      </c>
      <c r="G9" s="4" t="s">
        <v>69</v>
      </c>
    </row>
    <row r="10" spans="1:7" ht="28.8" x14ac:dyDescent="0.3">
      <c r="A10" s="4" t="s">
        <v>70</v>
      </c>
      <c r="B10" s="4" t="s">
        <v>71</v>
      </c>
      <c r="C10" s="4" t="s">
        <v>72</v>
      </c>
      <c r="D10" s="4" t="s">
        <v>13</v>
      </c>
      <c r="E10" s="4" t="s">
        <v>26</v>
      </c>
      <c r="F10" s="4" t="s">
        <v>73</v>
      </c>
      <c r="G10" s="4" t="s">
        <v>13</v>
      </c>
    </row>
  </sheetData>
  <autoFilter ref="A1:G10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"/>
  <sheetViews>
    <sheetView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16" customWidth="1"/>
    <col min="2" max="2" width="12" customWidth="1"/>
    <col min="3" max="3" width="32" customWidth="1"/>
    <col min="4" max="4" width="45" customWidth="1"/>
    <col min="5" max="6" width="12" customWidth="1"/>
  </cols>
  <sheetData>
    <row r="1" spans="1:6" ht="30" customHeight="1" x14ac:dyDescent="0.3">
      <c r="A1" s="3" t="s">
        <v>74</v>
      </c>
      <c r="B1" s="3" t="s">
        <v>75</v>
      </c>
      <c r="C1" s="3" t="s">
        <v>76</v>
      </c>
      <c r="D1" s="3" t="s">
        <v>77</v>
      </c>
      <c r="E1" s="3" t="s">
        <v>15</v>
      </c>
      <c r="F1" s="3" t="s">
        <v>19</v>
      </c>
    </row>
    <row r="2" spans="1:6" x14ac:dyDescent="0.3">
      <c r="A2" s="4" t="s">
        <v>78</v>
      </c>
      <c r="B2" s="4" t="s">
        <v>79</v>
      </c>
      <c r="C2" s="4" t="s">
        <v>80</v>
      </c>
      <c r="D2" s="4" t="s">
        <v>81</v>
      </c>
      <c r="E2" s="4" t="s">
        <v>22</v>
      </c>
      <c r="F2" s="4" t="s">
        <v>26</v>
      </c>
    </row>
    <row r="3" spans="1:6" x14ac:dyDescent="0.3">
      <c r="A3" s="4" t="s">
        <v>78</v>
      </c>
      <c r="B3" s="4" t="s">
        <v>82</v>
      </c>
      <c r="C3" s="4" t="s">
        <v>83</v>
      </c>
      <c r="D3" s="4" t="s">
        <v>84</v>
      </c>
      <c r="E3" s="4" t="s">
        <v>22</v>
      </c>
      <c r="F3" s="4" t="s">
        <v>26</v>
      </c>
    </row>
    <row r="4" spans="1:6" x14ac:dyDescent="0.3">
      <c r="A4" s="4" t="s">
        <v>85</v>
      </c>
      <c r="B4" s="4" t="s">
        <v>86</v>
      </c>
      <c r="C4" s="4" t="s">
        <v>87</v>
      </c>
      <c r="D4" s="4" t="s">
        <v>88</v>
      </c>
      <c r="E4" s="4" t="s">
        <v>22</v>
      </c>
      <c r="F4" s="4" t="s">
        <v>26</v>
      </c>
    </row>
    <row r="5" spans="1:6" x14ac:dyDescent="0.3">
      <c r="A5" s="4" t="s">
        <v>85</v>
      </c>
      <c r="B5" s="4" t="s">
        <v>89</v>
      </c>
      <c r="C5" s="4" t="s">
        <v>90</v>
      </c>
      <c r="D5" s="4" t="s">
        <v>91</v>
      </c>
      <c r="E5" s="4" t="s">
        <v>22</v>
      </c>
      <c r="F5" s="4" t="s">
        <v>26</v>
      </c>
    </row>
    <row r="6" spans="1:6" x14ac:dyDescent="0.3">
      <c r="A6" s="4" t="s">
        <v>85</v>
      </c>
      <c r="B6" s="4" t="s">
        <v>92</v>
      </c>
      <c r="C6" s="4" t="s">
        <v>93</v>
      </c>
      <c r="D6" s="4" t="s">
        <v>94</v>
      </c>
      <c r="E6" s="4" t="s">
        <v>22</v>
      </c>
      <c r="F6" s="4" t="s">
        <v>26</v>
      </c>
    </row>
    <row r="7" spans="1:6" x14ac:dyDescent="0.3">
      <c r="A7" s="4" t="s">
        <v>95</v>
      </c>
      <c r="B7" s="4" t="s">
        <v>96</v>
      </c>
      <c r="C7" s="4" t="s">
        <v>97</v>
      </c>
      <c r="D7" s="4" t="s">
        <v>98</v>
      </c>
      <c r="E7" s="4" t="s">
        <v>22</v>
      </c>
      <c r="F7" s="4" t="s">
        <v>26</v>
      </c>
    </row>
    <row r="8" spans="1:6" x14ac:dyDescent="0.3">
      <c r="A8" s="4" t="s">
        <v>99</v>
      </c>
      <c r="B8" s="4" t="s">
        <v>100</v>
      </c>
      <c r="C8" s="4" t="s">
        <v>101</v>
      </c>
      <c r="D8" s="4" t="s">
        <v>102</v>
      </c>
      <c r="E8" s="4" t="s">
        <v>22</v>
      </c>
      <c r="F8" s="4" t="s">
        <v>26</v>
      </c>
    </row>
    <row r="9" spans="1:6" x14ac:dyDescent="0.3">
      <c r="A9" s="4" t="s">
        <v>99</v>
      </c>
      <c r="B9" s="4" t="s">
        <v>103</v>
      </c>
      <c r="C9" s="4" t="s">
        <v>104</v>
      </c>
      <c r="D9" s="4" t="s">
        <v>105</v>
      </c>
      <c r="E9" s="4" t="s">
        <v>22</v>
      </c>
      <c r="F9" s="4" t="s">
        <v>26</v>
      </c>
    </row>
    <row r="10" spans="1:6" x14ac:dyDescent="0.3">
      <c r="A10" s="4" t="s">
        <v>99</v>
      </c>
      <c r="B10" s="4" t="s">
        <v>106</v>
      </c>
      <c r="C10" s="4" t="s">
        <v>107</v>
      </c>
      <c r="D10" s="4" t="s">
        <v>108</v>
      </c>
      <c r="E10" s="4" t="s">
        <v>22</v>
      </c>
      <c r="F10" s="4" t="s">
        <v>26</v>
      </c>
    </row>
    <row r="11" spans="1:6" x14ac:dyDescent="0.3">
      <c r="A11" s="4" t="s">
        <v>109</v>
      </c>
      <c r="B11" s="4" t="s">
        <v>110</v>
      </c>
      <c r="C11" s="4" t="s">
        <v>111</v>
      </c>
      <c r="D11" s="4" t="s">
        <v>112</v>
      </c>
      <c r="E11" s="4" t="s">
        <v>22</v>
      </c>
      <c r="F11" s="4" t="s">
        <v>26</v>
      </c>
    </row>
    <row r="12" spans="1:6" x14ac:dyDescent="0.3">
      <c r="A12" s="4" t="s">
        <v>113</v>
      </c>
      <c r="B12" s="4" t="s">
        <v>114</v>
      </c>
      <c r="C12" s="4" t="s">
        <v>115</v>
      </c>
      <c r="D12" s="4" t="s">
        <v>116</v>
      </c>
      <c r="E12" s="4" t="s">
        <v>22</v>
      </c>
      <c r="F12" s="4" t="s">
        <v>26</v>
      </c>
    </row>
    <row r="13" spans="1:6" x14ac:dyDescent="0.3">
      <c r="A13" s="4" t="s">
        <v>113</v>
      </c>
      <c r="B13" s="4" t="s">
        <v>117</v>
      </c>
      <c r="C13" s="4" t="s">
        <v>118</v>
      </c>
      <c r="D13" s="4" t="s">
        <v>119</v>
      </c>
      <c r="E13" s="4" t="s">
        <v>22</v>
      </c>
      <c r="F13" s="4" t="s">
        <v>26</v>
      </c>
    </row>
    <row r="14" spans="1:6" x14ac:dyDescent="0.3">
      <c r="A14" s="4" t="s">
        <v>113</v>
      </c>
      <c r="B14" s="4" t="s">
        <v>120</v>
      </c>
      <c r="C14" s="4" t="s">
        <v>121</v>
      </c>
      <c r="D14" s="4" t="s">
        <v>122</v>
      </c>
      <c r="E14" s="4" t="s">
        <v>22</v>
      </c>
      <c r="F14" s="4" t="s">
        <v>26</v>
      </c>
    </row>
    <row r="15" spans="1:6" x14ac:dyDescent="0.3">
      <c r="A15" s="4" t="s">
        <v>123</v>
      </c>
      <c r="B15" s="4" t="s">
        <v>124</v>
      </c>
      <c r="C15" s="4" t="s">
        <v>125</v>
      </c>
      <c r="D15" s="4" t="s">
        <v>126</v>
      </c>
      <c r="E15" s="4" t="s">
        <v>22</v>
      </c>
      <c r="F15" s="4" t="s">
        <v>51</v>
      </c>
    </row>
    <row r="16" spans="1:6" x14ac:dyDescent="0.3">
      <c r="A16" s="4" t="s">
        <v>127</v>
      </c>
      <c r="B16" s="4" t="s">
        <v>128</v>
      </c>
      <c r="C16" s="4" t="s">
        <v>129</v>
      </c>
      <c r="D16" s="4" t="s">
        <v>130</v>
      </c>
      <c r="E16" s="4" t="s">
        <v>22</v>
      </c>
      <c r="F16" s="4" t="s">
        <v>26</v>
      </c>
    </row>
    <row r="17" spans="1:6" x14ac:dyDescent="0.3">
      <c r="A17" s="4" t="s">
        <v>131</v>
      </c>
      <c r="B17" s="4" t="s">
        <v>132</v>
      </c>
      <c r="C17" s="4" t="s">
        <v>133</v>
      </c>
      <c r="D17" s="4" t="s">
        <v>134</v>
      </c>
      <c r="E17" s="4" t="s">
        <v>22</v>
      </c>
      <c r="F17" s="4" t="s">
        <v>51</v>
      </c>
    </row>
    <row r="18" spans="1:6" x14ac:dyDescent="0.3">
      <c r="A18" s="4" t="s">
        <v>135</v>
      </c>
      <c r="B18" s="4" t="s">
        <v>136</v>
      </c>
      <c r="C18" s="4" t="s">
        <v>137</v>
      </c>
      <c r="D18" s="4" t="s">
        <v>138</v>
      </c>
      <c r="E18" s="4" t="s">
        <v>29</v>
      </c>
      <c r="F18" s="4" t="s">
        <v>26</v>
      </c>
    </row>
    <row r="19" spans="1:6" x14ac:dyDescent="0.3">
      <c r="A19" s="4" t="s">
        <v>135</v>
      </c>
      <c r="B19" s="4" t="s">
        <v>139</v>
      </c>
      <c r="C19" s="4" t="s">
        <v>140</v>
      </c>
      <c r="D19" s="4" t="s">
        <v>141</v>
      </c>
      <c r="E19" s="4" t="s">
        <v>29</v>
      </c>
      <c r="F19" s="4" t="s">
        <v>26</v>
      </c>
    </row>
    <row r="20" spans="1:6" x14ac:dyDescent="0.3">
      <c r="A20" s="4" t="s">
        <v>135</v>
      </c>
      <c r="B20" s="4" t="s">
        <v>142</v>
      </c>
      <c r="C20" s="4" t="s">
        <v>143</v>
      </c>
      <c r="D20" s="4" t="s">
        <v>144</v>
      </c>
      <c r="E20" s="4" t="s">
        <v>29</v>
      </c>
      <c r="F20" s="4" t="s">
        <v>26</v>
      </c>
    </row>
    <row r="21" spans="1:6" x14ac:dyDescent="0.3">
      <c r="A21" s="4" t="s">
        <v>135</v>
      </c>
      <c r="B21" s="4" t="s">
        <v>145</v>
      </c>
      <c r="C21" s="4" t="s">
        <v>146</v>
      </c>
      <c r="D21" s="4" t="s">
        <v>147</v>
      </c>
      <c r="E21" s="4" t="s">
        <v>29</v>
      </c>
      <c r="F21" s="4" t="s">
        <v>26</v>
      </c>
    </row>
    <row r="22" spans="1:6" x14ac:dyDescent="0.3">
      <c r="A22" s="4" t="s">
        <v>135</v>
      </c>
      <c r="B22" s="4" t="s">
        <v>148</v>
      </c>
      <c r="C22" s="4" t="s">
        <v>149</v>
      </c>
      <c r="D22" s="4" t="s">
        <v>150</v>
      </c>
      <c r="E22" s="4" t="s">
        <v>29</v>
      </c>
      <c r="F22" s="4" t="s">
        <v>51</v>
      </c>
    </row>
    <row r="23" spans="1:6" x14ac:dyDescent="0.3">
      <c r="A23" s="4" t="s">
        <v>135</v>
      </c>
      <c r="B23" s="4" t="s">
        <v>151</v>
      </c>
      <c r="C23" s="4" t="s">
        <v>152</v>
      </c>
      <c r="D23" s="4" t="s">
        <v>153</v>
      </c>
      <c r="E23" s="4" t="s">
        <v>29</v>
      </c>
      <c r="F23" s="4" t="s">
        <v>26</v>
      </c>
    </row>
    <row r="24" spans="1:6" x14ac:dyDescent="0.3">
      <c r="A24" s="4" t="s">
        <v>135</v>
      </c>
      <c r="B24" s="4" t="s">
        <v>154</v>
      </c>
      <c r="C24" s="4" t="s">
        <v>155</v>
      </c>
      <c r="D24" s="4" t="s">
        <v>156</v>
      </c>
      <c r="E24" s="4" t="s">
        <v>29</v>
      </c>
      <c r="F24" s="4" t="s">
        <v>26</v>
      </c>
    </row>
    <row r="25" spans="1:6" x14ac:dyDescent="0.3">
      <c r="A25" s="4" t="s">
        <v>135</v>
      </c>
      <c r="B25" s="4" t="s">
        <v>157</v>
      </c>
      <c r="C25" s="4" t="s">
        <v>158</v>
      </c>
      <c r="D25" s="4" t="s">
        <v>159</v>
      </c>
      <c r="E25" s="4" t="s">
        <v>29</v>
      </c>
      <c r="F25" s="4" t="s">
        <v>51</v>
      </c>
    </row>
    <row r="26" spans="1:6" x14ac:dyDescent="0.3">
      <c r="A26" s="4" t="s">
        <v>135</v>
      </c>
      <c r="B26" s="4" t="s">
        <v>160</v>
      </c>
      <c r="C26" s="4" t="s">
        <v>161</v>
      </c>
      <c r="D26" s="4" t="s">
        <v>162</v>
      </c>
      <c r="E26" s="4" t="s">
        <v>29</v>
      </c>
      <c r="F26" s="4" t="s">
        <v>26</v>
      </c>
    </row>
    <row r="27" spans="1:6" x14ac:dyDescent="0.3">
      <c r="A27" s="4" t="s">
        <v>135</v>
      </c>
      <c r="B27" s="4" t="s">
        <v>163</v>
      </c>
      <c r="C27" s="4" t="s">
        <v>164</v>
      </c>
      <c r="D27" s="4" t="s">
        <v>165</v>
      </c>
      <c r="E27" s="4" t="s">
        <v>29</v>
      </c>
      <c r="F27" s="4" t="s">
        <v>26</v>
      </c>
    </row>
    <row r="28" spans="1:6" x14ac:dyDescent="0.3">
      <c r="A28" s="4" t="s">
        <v>135</v>
      </c>
      <c r="B28" s="4" t="s">
        <v>166</v>
      </c>
      <c r="C28" s="4" t="s">
        <v>167</v>
      </c>
      <c r="D28" s="4" t="s">
        <v>168</v>
      </c>
      <c r="E28" s="4" t="s">
        <v>29</v>
      </c>
      <c r="F28" s="4" t="s">
        <v>51</v>
      </c>
    </row>
    <row r="29" spans="1:6" x14ac:dyDescent="0.3">
      <c r="A29" s="4" t="s">
        <v>135</v>
      </c>
      <c r="B29" s="4" t="s">
        <v>169</v>
      </c>
      <c r="C29" s="4" t="s">
        <v>170</v>
      </c>
      <c r="D29" s="4" t="s">
        <v>171</v>
      </c>
      <c r="E29" s="4" t="s">
        <v>29</v>
      </c>
      <c r="F29" s="4" t="s">
        <v>26</v>
      </c>
    </row>
    <row r="30" spans="1:6" x14ac:dyDescent="0.3">
      <c r="A30" s="4" t="s">
        <v>172</v>
      </c>
      <c r="B30" s="4" t="s">
        <v>173</v>
      </c>
      <c r="C30" s="4" t="s">
        <v>174</v>
      </c>
      <c r="D30" s="4" t="s">
        <v>175</v>
      </c>
      <c r="E30" s="4" t="s">
        <v>35</v>
      </c>
      <c r="F30" s="4" t="s">
        <v>26</v>
      </c>
    </row>
    <row r="31" spans="1:6" x14ac:dyDescent="0.3">
      <c r="A31" s="4" t="s">
        <v>172</v>
      </c>
      <c r="B31" s="4" t="s">
        <v>176</v>
      </c>
      <c r="C31" s="4" t="s">
        <v>177</v>
      </c>
      <c r="D31" s="4" t="s">
        <v>178</v>
      </c>
      <c r="E31" s="4" t="s">
        <v>35</v>
      </c>
      <c r="F31" s="4" t="s">
        <v>26</v>
      </c>
    </row>
    <row r="32" spans="1:6" x14ac:dyDescent="0.3">
      <c r="A32" s="4" t="s">
        <v>172</v>
      </c>
      <c r="B32" s="4" t="s">
        <v>179</v>
      </c>
      <c r="C32" s="4" t="s">
        <v>180</v>
      </c>
      <c r="D32" s="4" t="s">
        <v>181</v>
      </c>
      <c r="E32" s="4" t="s">
        <v>35</v>
      </c>
      <c r="F32" s="4" t="s">
        <v>26</v>
      </c>
    </row>
    <row r="33" spans="1:6" x14ac:dyDescent="0.3">
      <c r="A33" s="4" t="s">
        <v>172</v>
      </c>
      <c r="B33" s="4" t="s">
        <v>182</v>
      </c>
      <c r="C33" s="4" t="s">
        <v>183</v>
      </c>
      <c r="D33" s="4" t="s">
        <v>184</v>
      </c>
      <c r="E33" s="4" t="s">
        <v>35</v>
      </c>
      <c r="F33" s="4" t="s">
        <v>26</v>
      </c>
    </row>
    <row r="34" spans="1:6" x14ac:dyDescent="0.3">
      <c r="A34" s="4" t="s">
        <v>172</v>
      </c>
      <c r="B34" s="4" t="s">
        <v>185</v>
      </c>
      <c r="C34" s="4" t="s">
        <v>186</v>
      </c>
      <c r="D34" s="4" t="s">
        <v>187</v>
      </c>
      <c r="E34" s="4" t="s">
        <v>35</v>
      </c>
      <c r="F34" s="4" t="s">
        <v>26</v>
      </c>
    </row>
    <row r="35" spans="1:6" x14ac:dyDescent="0.3">
      <c r="A35" s="4" t="s">
        <v>172</v>
      </c>
      <c r="B35" s="4" t="s">
        <v>188</v>
      </c>
      <c r="C35" s="4" t="s">
        <v>189</v>
      </c>
      <c r="D35" s="4" t="s">
        <v>190</v>
      </c>
      <c r="E35" s="4" t="s">
        <v>35</v>
      </c>
      <c r="F35" s="4" t="s">
        <v>26</v>
      </c>
    </row>
    <row r="36" spans="1:6" x14ac:dyDescent="0.3">
      <c r="A36" s="4" t="s">
        <v>172</v>
      </c>
      <c r="B36" s="4" t="s">
        <v>191</v>
      </c>
      <c r="C36" s="4" t="s">
        <v>192</v>
      </c>
      <c r="D36" s="4" t="s">
        <v>193</v>
      </c>
      <c r="E36" s="4" t="s">
        <v>35</v>
      </c>
      <c r="F36" s="4" t="s">
        <v>51</v>
      </c>
    </row>
    <row r="37" spans="1:6" x14ac:dyDescent="0.3">
      <c r="A37" s="4" t="s">
        <v>172</v>
      </c>
      <c r="B37" s="4" t="s">
        <v>194</v>
      </c>
      <c r="C37" s="4" t="s">
        <v>195</v>
      </c>
      <c r="D37" s="4" t="s">
        <v>196</v>
      </c>
      <c r="E37" s="4" t="s">
        <v>35</v>
      </c>
      <c r="F37" s="4" t="s">
        <v>51</v>
      </c>
    </row>
    <row r="38" spans="1:6" x14ac:dyDescent="0.3">
      <c r="A38" s="4" t="s">
        <v>172</v>
      </c>
      <c r="B38" s="4" t="s">
        <v>197</v>
      </c>
      <c r="C38" s="4" t="s">
        <v>198</v>
      </c>
      <c r="D38" s="4" t="s">
        <v>199</v>
      </c>
      <c r="E38" s="4" t="s">
        <v>35</v>
      </c>
      <c r="F38" s="4" t="s">
        <v>51</v>
      </c>
    </row>
    <row r="39" spans="1:6" x14ac:dyDescent="0.3">
      <c r="A39" s="4" t="s">
        <v>200</v>
      </c>
      <c r="B39" s="4" t="s">
        <v>201</v>
      </c>
      <c r="C39" s="4" t="s">
        <v>202</v>
      </c>
      <c r="D39" s="4" t="s">
        <v>203</v>
      </c>
      <c r="E39" s="4" t="s">
        <v>35</v>
      </c>
      <c r="F39" s="4" t="s">
        <v>26</v>
      </c>
    </row>
    <row r="40" spans="1:6" x14ac:dyDescent="0.3">
      <c r="A40" s="4" t="s">
        <v>99</v>
      </c>
      <c r="B40" s="4" t="s">
        <v>204</v>
      </c>
      <c r="C40" s="4" t="s">
        <v>205</v>
      </c>
      <c r="D40" s="4" t="s">
        <v>206</v>
      </c>
      <c r="E40" s="4" t="s">
        <v>41</v>
      </c>
      <c r="F40" s="4" t="s">
        <v>26</v>
      </c>
    </row>
    <row r="41" spans="1:6" x14ac:dyDescent="0.3">
      <c r="A41" s="4" t="s">
        <v>207</v>
      </c>
      <c r="B41" s="4" t="s">
        <v>208</v>
      </c>
      <c r="C41" s="4" t="s">
        <v>209</v>
      </c>
      <c r="D41" s="4" t="s">
        <v>210</v>
      </c>
      <c r="E41" s="4" t="s">
        <v>41</v>
      </c>
      <c r="F41" s="4" t="s">
        <v>26</v>
      </c>
    </row>
    <row r="42" spans="1:6" x14ac:dyDescent="0.3">
      <c r="A42" s="4" t="s">
        <v>207</v>
      </c>
      <c r="B42" s="4" t="s">
        <v>211</v>
      </c>
      <c r="C42" s="4" t="s">
        <v>212</v>
      </c>
      <c r="D42" s="4" t="s">
        <v>213</v>
      </c>
      <c r="E42" s="4" t="s">
        <v>41</v>
      </c>
      <c r="F42" s="4" t="s">
        <v>26</v>
      </c>
    </row>
    <row r="43" spans="1:6" x14ac:dyDescent="0.3">
      <c r="A43" s="4" t="s">
        <v>95</v>
      </c>
      <c r="B43" s="4" t="s">
        <v>214</v>
      </c>
      <c r="C43" s="4" t="s">
        <v>215</v>
      </c>
      <c r="D43" s="4" t="s">
        <v>216</v>
      </c>
      <c r="E43" s="4" t="s">
        <v>41</v>
      </c>
      <c r="F43" s="4" t="s">
        <v>26</v>
      </c>
    </row>
    <row r="44" spans="1:6" x14ac:dyDescent="0.3">
      <c r="A44" s="4" t="s">
        <v>95</v>
      </c>
      <c r="B44" s="4" t="s">
        <v>217</v>
      </c>
      <c r="C44" s="4" t="s">
        <v>218</v>
      </c>
      <c r="D44" s="4" t="s">
        <v>219</v>
      </c>
      <c r="E44" s="4" t="s">
        <v>41</v>
      </c>
      <c r="F44" s="4" t="s">
        <v>26</v>
      </c>
    </row>
    <row r="45" spans="1:6" x14ac:dyDescent="0.3">
      <c r="A45" s="4" t="s">
        <v>99</v>
      </c>
      <c r="B45" s="4" t="s">
        <v>220</v>
      </c>
      <c r="C45" s="4" t="s">
        <v>221</v>
      </c>
      <c r="D45" s="4" t="s">
        <v>222</v>
      </c>
      <c r="E45" s="4" t="s">
        <v>41</v>
      </c>
      <c r="F45" s="4" t="s">
        <v>26</v>
      </c>
    </row>
    <row r="46" spans="1:6" x14ac:dyDescent="0.3">
      <c r="A46" s="4" t="s">
        <v>207</v>
      </c>
      <c r="B46" s="4" t="s">
        <v>223</v>
      </c>
      <c r="C46" s="4" t="s">
        <v>224</v>
      </c>
      <c r="D46" s="4" t="s">
        <v>225</v>
      </c>
      <c r="E46" s="4" t="s">
        <v>41</v>
      </c>
      <c r="F46" s="4" t="s">
        <v>51</v>
      </c>
    </row>
    <row r="47" spans="1:6" x14ac:dyDescent="0.3">
      <c r="A47" s="4" t="s">
        <v>207</v>
      </c>
      <c r="B47" s="4" t="s">
        <v>226</v>
      </c>
      <c r="C47" s="4" t="s">
        <v>227</v>
      </c>
      <c r="D47" s="4" t="s">
        <v>228</v>
      </c>
      <c r="E47" s="4" t="s">
        <v>41</v>
      </c>
      <c r="F47" s="4" t="s">
        <v>51</v>
      </c>
    </row>
    <row r="48" spans="1:6" x14ac:dyDescent="0.3">
      <c r="A48" s="4" t="s">
        <v>113</v>
      </c>
      <c r="B48" s="4" t="s">
        <v>229</v>
      </c>
      <c r="C48" s="4" t="s">
        <v>230</v>
      </c>
      <c r="D48" s="4" t="s">
        <v>231</v>
      </c>
      <c r="E48" s="4" t="s">
        <v>41</v>
      </c>
      <c r="F48" s="4" t="s">
        <v>26</v>
      </c>
    </row>
    <row r="49" spans="1:6" x14ac:dyDescent="0.3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41</v>
      </c>
      <c r="F49" s="4" t="s">
        <v>26</v>
      </c>
    </row>
    <row r="50" spans="1:6" x14ac:dyDescent="0.3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47</v>
      </c>
      <c r="F50" s="4" t="s">
        <v>26</v>
      </c>
    </row>
    <row r="51" spans="1:6" x14ac:dyDescent="0.3">
      <c r="A51" s="4" t="s">
        <v>236</v>
      </c>
      <c r="B51" s="4" t="s">
        <v>240</v>
      </c>
      <c r="C51" s="4" t="s">
        <v>241</v>
      </c>
      <c r="D51" s="4" t="s">
        <v>242</v>
      </c>
      <c r="E51" s="4" t="s">
        <v>47</v>
      </c>
      <c r="F51" s="4" t="s">
        <v>26</v>
      </c>
    </row>
    <row r="52" spans="1:6" x14ac:dyDescent="0.3">
      <c r="A52" s="4" t="s">
        <v>236</v>
      </c>
      <c r="B52" s="4" t="s">
        <v>243</v>
      </c>
      <c r="C52" s="4" t="s">
        <v>244</v>
      </c>
      <c r="D52" s="4" t="s">
        <v>245</v>
      </c>
      <c r="E52" s="4" t="s">
        <v>47</v>
      </c>
      <c r="F52" s="4" t="s">
        <v>51</v>
      </c>
    </row>
    <row r="53" spans="1:6" x14ac:dyDescent="0.3">
      <c r="A53" s="4" t="s">
        <v>236</v>
      </c>
      <c r="B53" s="4" t="s">
        <v>246</v>
      </c>
      <c r="C53" s="4" t="s">
        <v>247</v>
      </c>
      <c r="D53" s="4" t="s">
        <v>248</v>
      </c>
      <c r="E53" s="4" t="s">
        <v>47</v>
      </c>
      <c r="F53" s="4" t="s">
        <v>26</v>
      </c>
    </row>
    <row r="54" spans="1:6" x14ac:dyDescent="0.3">
      <c r="A54" s="4" t="s">
        <v>236</v>
      </c>
      <c r="B54" s="4" t="s">
        <v>249</v>
      </c>
      <c r="C54" s="4" t="s">
        <v>250</v>
      </c>
      <c r="D54" s="4" t="s">
        <v>251</v>
      </c>
      <c r="E54" s="4" t="s">
        <v>47</v>
      </c>
      <c r="F54" s="4" t="s">
        <v>51</v>
      </c>
    </row>
    <row r="55" spans="1:6" x14ac:dyDescent="0.3">
      <c r="A55" s="4" t="s">
        <v>236</v>
      </c>
      <c r="B55" s="4" t="s">
        <v>252</v>
      </c>
      <c r="C55" s="4" t="s">
        <v>253</v>
      </c>
      <c r="D55" s="4" t="s">
        <v>254</v>
      </c>
      <c r="E55" s="4" t="s">
        <v>47</v>
      </c>
      <c r="F55" s="4" t="s">
        <v>51</v>
      </c>
    </row>
    <row r="56" spans="1:6" x14ac:dyDescent="0.3">
      <c r="A56" s="4" t="s">
        <v>236</v>
      </c>
      <c r="B56" s="4" t="s">
        <v>255</v>
      </c>
      <c r="C56" s="4" t="s">
        <v>256</v>
      </c>
      <c r="D56" s="4" t="s">
        <v>257</v>
      </c>
      <c r="E56" s="4" t="s">
        <v>47</v>
      </c>
      <c r="F56" s="4" t="s">
        <v>26</v>
      </c>
    </row>
    <row r="57" spans="1:6" x14ac:dyDescent="0.3">
      <c r="A57" s="4" t="s">
        <v>236</v>
      </c>
      <c r="B57" s="4" t="s">
        <v>258</v>
      </c>
      <c r="C57" s="4" t="s">
        <v>259</v>
      </c>
      <c r="D57" s="4" t="s">
        <v>260</v>
      </c>
      <c r="E57" s="4" t="s">
        <v>47</v>
      </c>
      <c r="F57" s="4" t="s">
        <v>51</v>
      </c>
    </row>
    <row r="58" spans="1:6" x14ac:dyDescent="0.3">
      <c r="A58" s="4" t="s">
        <v>236</v>
      </c>
      <c r="B58" s="4" t="s">
        <v>261</v>
      </c>
      <c r="C58" s="4" t="s">
        <v>262</v>
      </c>
      <c r="D58" s="4" t="s">
        <v>263</v>
      </c>
      <c r="E58" s="4" t="s">
        <v>47</v>
      </c>
      <c r="F58" s="4" t="s">
        <v>51</v>
      </c>
    </row>
    <row r="59" spans="1:6" x14ac:dyDescent="0.3">
      <c r="A59" s="4" t="s">
        <v>54</v>
      </c>
      <c r="B59" s="4" t="s">
        <v>264</v>
      </c>
      <c r="C59" s="4" t="s">
        <v>265</v>
      </c>
      <c r="D59" s="4" t="s">
        <v>266</v>
      </c>
      <c r="E59" s="4" t="s">
        <v>53</v>
      </c>
      <c r="F59" s="4" t="s">
        <v>267</v>
      </c>
    </row>
    <row r="60" spans="1:6" x14ac:dyDescent="0.3">
      <c r="A60" s="4" t="s">
        <v>54</v>
      </c>
      <c r="B60" s="4" t="s">
        <v>268</v>
      </c>
      <c r="C60" s="4" t="s">
        <v>269</v>
      </c>
      <c r="D60" s="4" t="s">
        <v>270</v>
      </c>
      <c r="E60" s="4" t="s">
        <v>53</v>
      </c>
      <c r="F60" s="4" t="s">
        <v>267</v>
      </c>
    </row>
    <row r="61" spans="1:6" x14ac:dyDescent="0.3">
      <c r="A61" s="4" t="s">
        <v>54</v>
      </c>
      <c r="B61" s="4" t="s">
        <v>271</v>
      </c>
      <c r="C61" s="4" t="s">
        <v>272</v>
      </c>
      <c r="D61" s="4" t="s">
        <v>273</v>
      </c>
      <c r="E61" s="4" t="s">
        <v>53</v>
      </c>
      <c r="F61" s="4" t="s">
        <v>267</v>
      </c>
    </row>
    <row r="62" spans="1:6" x14ac:dyDescent="0.3">
      <c r="A62" s="4" t="s">
        <v>54</v>
      </c>
      <c r="B62" s="4" t="s">
        <v>274</v>
      </c>
      <c r="C62" s="4" t="s">
        <v>275</v>
      </c>
      <c r="D62" s="4" t="s">
        <v>276</v>
      </c>
      <c r="E62" s="4" t="s">
        <v>53</v>
      </c>
      <c r="F62" s="4" t="s">
        <v>267</v>
      </c>
    </row>
    <row r="63" spans="1:6" x14ac:dyDescent="0.3">
      <c r="A63" s="4" t="s">
        <v>54</v>
      </c>
      <c r="B63" s="4" t="s">
        <v>277</v>
      </c>
      <c r="C63" s="4" t="s">
        <v>278</v>
      </c>
      <c r="D63" s="4" t="s">
        <v>279</v>
      </c>
      <c r="E63" s="4" t="s">
        <v>53</v>
      </c>
      <c r="F63" s="4" t="s">
        <v>51</v>
      </c>
    </row>
    <row r="64" spans="1:6" x14ac:dyDescent="0.3">
      <c r="A64" s="4" t="s">
        <v>54</v>
      </c>
      <c r="B64" s="4" t="s">
        <v>280</v>
      </c>
      <c r="C64" s="4" t="s">
        <v>281</v>
      </c>
      <c r="D64" s="4" t="s">
        <v>282</v>
      </c>
      <c r="E64" s="4" t="s">
        <v>53</v>
      </c>
      <c r="F64" s="4" t="s">
        <v>51</v>
      </c>
    </row>
    <row r="65" spans="1:6" x14ac:dyDescent="0.3">
      <c r="A65" s="4" t="s">
        <v>54</v>
      </c>
      <c r="B65" s="4" t="s">
        <v>283</v>
      </c>
      <c r="C65" s="4" t="s">
        <v>284</v>
      </c>
      <c r="D65" s="4" t="s">
        <v>285</v>
      </c>
      <c r="E65" s="4" t="s">
        <v>53</v>
      </c>
      <c r="F65" s="4" t="s">
        <v>51</v>
      </c>
    </row>
    <row r="66" spans="1:6" x14ac:dyDescent="0.3">
      <c r="A66" s="4" t="s">
        <v>54</v>
      </c>
      <c r="B66" s="4" t="s">
        <v>286</v>
      </c>
      <c r="C66" s="4" t="s">
        <v>287</v>
      </c>
      <c r="D66" s="4" t="s">
        <v>288</v>
      </c>
      <c r="E66" s="4" t="s">
        <v>53</v>
      </c>
      <c r="F66" s="4" t="s">
        <v>51</v>
      </c>
    </row>
    <row r="67" spans="1:6" x14ac:dyDescent="0.3">
      <c r="A67" s="4" t="s">
        <v>54</v>
      </c>
      <c r="B67" s="4" t="s">
        <v>289</v>
      </c>
      <c r="C67" s="4" t="s">
        <v>290</v>
      </c>
      <c r="D67" s="4" t="s">
        <v>291</v>
      </c>
      <c r="E67" s="4" t="s">
        <v>53</v>
      </c>
      <c r="F67" s="4" t="s">
        <v>267</v>
      </c>
    </row>
    <row r="68" spans="1:6" x14ac:dyDescent="0.3">
      <c r="A68" s="4" t="s">
        <v>54</v>
      </c>
      <c r="B68" s="4" t="s">
        <v>292</v>
      </c>
      <c r="C68" s="4" t="s">
        <v>293</v>
      </c>
      <c r="D68" s="4" t="s">
        <v>294</v>
      </c>
      <c r="E68" s="4" t="s">
        <v>53</v>
      </c>
      <c r="F68" s="4" t="s">
        <v>51</v>
      </c>
    </row>
    <row r="69" spans="1:6" x14ac:dyDescent="0.3">
      <c r="A69" s="4" t="s">
        <v>54</v>
      </c>
      <c r="B69" s="4" t="s">
        <v>295</v>
      </c>
      <c r="C69" s="4" t="s">
        <v>296</v>
      </c>
      <c r="D69" s="4" t="s">
        <v>297</v>
      </c>
      <c r="E69" s="4" t="s">
        <v>53</v>
      </c>
      <c r="F69" s="4" t="s">
        <v>51</v>
      </c>
    </row>
    <row r="70" spans="1:6" x14ac:dyDescent="0.3">
      <c r="A70" s="4" t="s">
        <v>54</v>
      </c>
      <c r="B70" s="4" t="s">
        <v>298</v>
      </c>
      <c r="C70" s="4" t="s">
        <v>299</v>
      </c>
      <c r="D70" s="4" t="s">
        <v>300</v>
      </c>
      <c r="E70" s="4" t="s">
        <v>53</v>
      </c>
      <c r="F70" s="4" t="s">
        <v>267</v>
      </c>
    </row>
    <row r="71" spans="1:6" x14ac:dyDescent="0.3">
      <c r="A71" s="4" t="s">
        <v>54</v>
      </c>
      <c r="B71" s="4" t="s">
        <v>301</v>
      </c>
      <c r="C71" s="4" t="s">
        <v>302</v>
      </c>
      <c r="D71" s="4" t="s">
        <v>303</v>
      </c>
      <c r="E71" s="4" t="s">
        <v>53</v>
      </c>
      <c r="F71" s="4" t="s">
        <v>267</v>
      </c>
    </row>
    <row r="72" spans="1:6" x14ac:dyDescent="0.3">
      <c r="A72" s="4" t="s">
        <v>54</v>
      </c>
      <c r="B72" s="4" t="s">
        <v>304</v>
      </c>
      <c r="C72" s="4" t="s">
        <v>305</v>
      </c>
      <c r="D72" s="4" t="s">
        <v>306</v>
      </c>
      <c r="E72" s="4" t="s">
        <v>53</v>
      </c>
      <c r="F72" s="4" t="s">
        <v>267</v>
      </c>
    </row>
    <row r="73" spans="1:6" x14ac:dyDescent="0.3">
      <c r="A73" s="4" t="s">
        <v>54</v>
      </c>
      <c r="B73" s="4" t="s">
        <v>307</v>
      </c>
      <c r="C73" s="4" t="s">
        <v>308</v>
      </c>
      <c r="D73" s="4" t="s">
        <v>309</v>
      </c>
      <c r="E73" s="4" t="s">
        <v>53</v>
      </c>
      <c r="F73" s="4" t="s">
        <v>267</v>
      </c>
    </row>
    <row r="74" spans="1:6" x14ac:dyDescent="0.3">
      <c r="A74" s="4" t="s">
        <v>54</v>
      </c>
      <c r="B74" s="4" t="s">
        <v>310</v>
      </c>
      <c r="C74" s="4" t="s">
        <v>311</v>
      </c>
      <c r="D74" s="4" t="s">
        <v>312</v>
      </c>
      <c r="E74" s="4" t="s">
        <v>53</v>
      </c>
      <c r="F74" s="4" t="s">
        <v>51</v>
      </c>
    </row>
    <row r="75" spans="1:6" x14ac:dyDescent="0.3">
      <c r="A75" s="4" t="s">
        <v>54</v>
      </c>
      <c r="B75" s="4" t="s">
        <v>313</v>
      </c>
      <c r="C75" s="4" t="s">
        <v>314</v>
      </c>
      <c r="D75" s="4" t="s">
        <v>315</v>
      </c>
      <c r="E75" s="4" t="s">
        <v>53</v>
      </c>
      <c r="F75" s="4" t="s">
        <v>267</v>
      </c>
    </row>
    <row r="76" spans="1:6" x14ac:dyDescent="0.3">
      <c r="A76" s="4" t="s">
        <v>54</v>
      </c>
      <c r="B76" s="4" t="s">
        <v>316</v>
      </c>
      <c r="C76" s="4" t="s">
        <v>317</v>
      </c>
      <c r="D76" s="4" t="s">
        <v>318</v>
      </c>
      <c r="E76" s="4" t="s">
        <v>53</v>
      </c>
      <c r="F76" s="4" t="s">
        <v>26</v>
      </c>
    </row>
    <row r="77" spans="1:6" x14ac:dyDescent="0.3">
      <c r="A77" s="4" t="s">
        <v>54</v>
      </c>
      <c r="B77" s="4" t="s">
        <v>319</v>
      </c>
      <c r="C77" s="4" t="s">
        <v>320</v>
      </c>
      <c r="D77" s="4" t="s">
        <v>321</v>
      </c>
      <c r="E77" s="4" t="s">
        <v>53</v>
      </c>
      <c r="F77" s="4" t="s">
        <v>267</v>
      </c>
    </row>
    <row r="78" spans="1:6" x14ac:dyDescent="0.3">
      <c r="A78" s="4" t="s">
        <v>322</v>
      </c>
      <c r="B78" s="4" t="s">
        <v>323</v>
      </c>
      <c r="C78" s="4" t="s">
        <v>324</v>
      </c>
      <c r="D78" s="4" t="s">
        <v>325</v>
      </c>
      <c r="E78" s="4" t="s">
        <v>58</v>
      </c>
      <c r="F78" s="4" t="s">
        <v>51</v>
      </c>
    </row>
    <row r="79" spans="1:6" x14ac:dyDescent="0.3">
      <c r="A79" s="4" t="s">
        <v>232</v>
      </c>
      <c r="B79" s="4" t="s">
        <v>326</v>
      </c>
      <c r="C79" s="4" t="s">
        <v>327</v>
      </c>
      <c r="D79" s="4" t="s">
        <v>328</v>
      </c>
      <c r="E79" s="4" t="s">
        <v>58</v>
      </c>
      <c r="F79" s="4" t="s">
        <v>26</v>
      </c>
    </row>
    <row r="80" spans="1:6" x14ac:dyDescent="0.3">
      <c r="A80" s="4" t="s">
        <v>322</v>
      </c>
      <c r="B80" s="4" t="s">
        <v>329</v>
      </c>
      <c r="C80" s="4" t="s">
        <v>330</v>
      </c>
      <c r="D80" s="4" t="s">
        <v>331</v>
      </c>
      <c r="E80" s="4" t="s">
        <v>58</v>
      </c>
      <c r="F80" s="4" t="s">
        <v>51</v>
      </c>
    </row>
    <row r="81" spans="1:6" x14ac:dyDescent="0.3">
      <c r="A81" s="4" t="s">
        <v>322</v>
      </c>
      <c r="B81" s="4" t="s">
        <v>332</v>
      </c>
      <c r="C81" s="4" t="s">
        <v>333</v>
      </c>
      <c r="D81" s="4" t="s">
        <v>334</v>
      </c>
      <c r="E81" s="4" t="s">
        <v>58</v>
      </c>
      <c r="F81" s="4" t="s">
        <v>51</v>
      </c>
    </row>
    <row r="82" spans="1:6" x14ac:dyDescent="0.3">
      <c r="A82" s="4" t="s">
        <v>322</v>
      </c>
      <c r="B82" s="4" t="s">
        <v>335</v>
      </c>
      <c r="C82" s="4" t="s">
        <v>336</v>
      </c>
      <c r="D82" s="4" t="s">
        <v>337</v>
      </c>
      <c r="E82" s="4" t="s">
        <v>58</v>
      </c>
      <c r="F82" s="4" t="s">
        <v>26</v>
      </c>
    </row>
    <row r="83" spans="1:6" x14ac:dyDescent="0.3">
      <c r="A83" s="4" t="s">
        <v>322</v>
      </c>
      <c r="B83" s="4" t="s">
        <v>338</v>
      </c>
      <c r="C83" s="4" t="s">
        <v>339</v>
      </c>
      <c r="D83" s="4" t="s">
        <v>340</v>
      </c>
      <c r="E83" s="4" t="s">
        <v>58</v>
      </c>
      <c r="F83" s="4" t="s">
        <v>51</v>
      </c>
    </row>
    <row r="84" spans="1:6" x14ac:dyDescent="0.3">
      <c r="A84" s="4" t="s">
        <v>322</v>
      </c>
      <c r="B84" s="4" t="s">
        <v>341</v>
      </c>
      <c r="C84" s="4" t="s">
        <v>342</v>
      </c>
      <c r="D84" s="4" t="s">
        <v>343</v>
      </c>
      <c r="E84" s="4" t="s">
        <v>58</v>
      </c>
      <c r="F84" s="4" t="s">
        <v>51</v>
      </c>
    </row>
    <row r="85" spans="1:6" x14ac:dyDescent="0.3">
      <c r="A85" s="4" t="s">
        <v>344</v>
      </c>
      <c r="B85" s="4" t="s">
        <v>345</v>
      </c>
      <c r="C85" s="4" t="s">
        <v>346</v>
      </c>
      <c r="D85" s="4" t="s">
        <v>347</v>
      </c>
      <c r="E85" s="4" t="s">
        <v>58</v>
      </c>
      <c r="F85" s="4" t="s">
        <v>51</v>
      </c>
    </row>
    <row r="86" spans="1:6" x14ac:dyDescent="0.3">
      <c r="A86" s="4" t="s">
        <v>322</v>
      </c>
      <c r="B86" s="4" t="s">
        <v>348</v>
      </c>
      <c r="C86" s="4" t="s">
        <v>349</v>
      </c>
      <c r="D86" s="4" t="s">
        <v>350</v>
      </c>
      <c r="E86" s="4" t="s">
        <v>58</v>
      </c>
      <c r="F86" s="4" t="s">
        <v>267</v>
      </c>
    </row>
    <row r="87" spans="1:6" x14ac:dyDescent="0.3">
      <c r="A87" s="4" t="s">
        <v>322</v>
      </c>
      <c r="B87" s="4" t="s">
        <v>351</v>
      </c>
      <c r="C87" s="4" t="s">
        <v>352</v>
      </c>
      <c r="D87" s="4" t="s">
        <v>353</v>
      </c>
      <c r="E87" s="4" t="s">
        <v>58</v>
      </c>
      <c r="F87" s="4" t="s">
        <v>51</v>
      </c>
    </row>
    <row r="88" spans="1:6" x14ac:dyDescent="0.3">
      <c r="A88" s="4" t="s">
        <v>322</v>
      </c>
      <c r="B88" s="4" t="s">
        <v>354</v>
      </c>
      <c r="C88" s="4" t="s">
        <v>355</v>
      </c>
      <c r="D88" s="4" t="s">
        <v>356</v>
      </c>
      <c r="E88" s="4" t="s">
        <v>58</v>
      </c>
      <c r="F88" s="4" t="s">
        <v>267</v>
      </c>
    </row>
    <row r="89" spans="1:6" x14ac:dyDescent="0.3">
      <c r="A89" s="4" t="s">
        <v>322</v>
      </c>
      <c r="B89" s="4" t="s">
        <v>357</v>
      </c>
      <c r="C89" s="4" t="s">
        <v>358</v>
      </c>
      <c r="D89" s="4" t="s">
        <v>359</v>
      </c>
      <c r="E89" s="4" t="s">
        <v>58</v>
      </c>
      <c r="F89" s="4" t="s">
        <v>267</v>
      </c>
    </row>
    <row r="90" spans="1:6" x14ac:dyDescent="0.3">
      <c r="A90" s="4" t="s">
        <v>322</v>
      </c>
      <c r="B90" s="4" t="s">
        <v>360</v>
      </c>
      <c r="C90" s="4" t="s">
        <v>361</v>
      </c>
      <c r="D90" s="4" t="s">
        <v>362</v>
      </c>
      <c r="E90" s="4" t="s">
        <v>58</v>
      </c>
      <c r="F90" s="4" t="s">
        <v>51</v>
      </c>
    </row>
    <row r="91" spans="1:6" x14ac:dyDescent="0.3">
      <c r="A91" s="4" t="s">
        <v>85</v>
      </c>
      <c r="B91" s="4" t="s">
        <v>363</v>
      </c>
      <c r="C91" s="4" t="s">
        <v>364</v>
      </c>
      <c r="D91" s="4" t="s">
        <v>365</v>
      </c>
      <c r="E91" s="4" t="s">
        <v>58</v>
      </c>
      <c r="F91" s="4" t="s">
        <v>51</v>
      </c>
    </row>
    <row r="92" spans="1:6" x14ac:dyDescent="0.3">
      <c r="A92" s="4" t="s">
        <v>95</v>
      </c>
      <c r="B92" s="4" t="s">
        <v>366</v>
      </c>
      <c r="C92" s="4" t="s">
        <v>367</v>
      </c>
      <c r="D92" s="4" t="s">
        <v>368</v>
      </c>
      <c r="E92" s="4" t="s">
        <v>58</v>
      </c>
      <c r="F92" s="4" t="s">
        <v>267</v>
      </c>
    </row>
    <row r="93" spans="1:6" x14ac:dyDescent="0.3">
      <c r="A93" s="4" t="s">
        <v>369</v>
      </c>
      <c r="B93" s="4" t="s">
        <v>370</v>
      </c>
      <c r="C93" s="4" t="s">
        <v>371</v>
      </c>
      <c r="D93" s="4" t="s">
        <v>372</v>
      </c>
      <c r="E93" s="4" t="s">
        <v>64</v>
      </c>
      <c r="F93" s="4" t="s">
        <v>26</v>
      </c>
    </row>
    <row r="94" spans="1:6" x14ac:dyDescent="0.3">
      <c r="A94" s="4" t="s">
        <v>369</v>
      </c>
      <c r="B94" s="4" t="s">
        <v>373</v>
      </c>
      <c r="C94" s="4" t="s">
        <v>374</v>
      </c>
      <c r="D94" s="4" t="s">
        <v>375</v>
      </c>
      <c r="E94" s="4" t="s">
        <v>64</v>
      </c>
      <c r="F94" s="4" t="s">
        <v>26</v>
      </c>
    </row>
    <row r="95" spans="1:6" x14ac:dyDescent="0.3">
      <c r="A95" s="4" t="s">
        <v>369</v>
      </c>
      <c r="B95" s="4" t="s">
        <v>376</v>
      </c>
      <c r="C95" s="4" t="s">
        <v>377</v>
      </c>
      <c r="D95" s="4" t="s">
        <v>378</v>
      </c>
      <c r="E95" s="4" t="s">
        <v>64</v>
      </c>
      <c r="F95" s="4" t="s">
        <v>51</v>
      </c>
    </row>
    <row r="96" spans="1:6" x14ac:dyDescent="0.3">
      <c r="A96" s="4" t="s">
        <v>369</v>
      </c>
      <c r="B96" s="4" t="s">
        <v>379</v>
      </c>
      <c r="C96" s="4" t="s">
        <v>380</v>
      </c>
      <c r="D96" s="4" t="s">
        <v>381</v>
      </c>
      <c r="E96" s="4" t="s">
        <v>64</v>
      </c>
      <c r="F96" s="4" t="s">
        <v>26</v>
      </c>
    </row>
    <row r="97" spans="1:6" x14ac:dyDescent="0.3">
      <c r="A97" s="4" t="s">
        <v>369</v>
      </c>
      <c r="B97" s="4" t="s">
        <v>382</v>
      </c>
      <c r="C97" s="4" t="s">
        <v>383</v>
      </c>
      <c r="D97" s="4" t="s">
        <v>384</v>
      </c>
      <c r="E97" s="4" t="s">
        <v>64</v>
      </c>
      <c r="F97" s="4" t="s">
        <v>26</v>
      </c>
    </row>
    <row r="98" spans="1:6" x14ac:dyDescent="0.3">
      <c r="A98" s="4" t="s">
        <v>369</v>
      </c>
      <c r="B98" s="4" t="s">
        <v>385</v>
      </c>
      <c r="C98" s="4" t="s">
        <v>386</v>
      </c>
      <c r="D98" s="4" t="s">
        <v>387</v>
      </c>
      <c r="E98" s="4" t="s">
        <v>64</v>
      </c>
      <c r="F98" s="4" t="s">
        <v>51</v>
      </c>
    </row>
    <row r="99" spans="1:6" x14ac:dyDescent="0.3">
      <c r="A99" s="4" t="s">
        <v>13</v>
      </c>
      <c r="B99" s="4" t="s">
        <v>388</v>
      </c>
      <c r="C99" s="4" t="s">
        <v>389</v>
      </c>
      <c r="D99" s="4" t="s">
        <v>390</v>
      </c>
      <c r="E99" s="4" t="s">
        <v>70</v>
      </c>
      <c r="F99" s="4" t="s">
        <v>26</v>
      </c>
    </row>
  </sheetData>
  <autoFilter ref="A1:F99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9" customWidth="1"/>
    <col min="2" max="2" width="45" customWidth="1"/>
    <col min="3" max="3" width="23" customWidth="1"/>
    <col min="4" max="4" width="45" customWidth="1"/>
  </cols>
  <sheetData>
    <row r="1" spans="1:4" ht="30" customHeight="1" x14ac:dyDescent="0.3">
      <c r="A1" s="3" t="s">
        <v>391</v>
      </c>
      <c r="B1" s="3" t="s">
        <v>392</v>
      </c>
      <c r="C1" s="3" t="s">
        <v>393</v>
      </c>
      <c r="D1" s="3" t="s">
        <v>394</v>
      </c>
    </row>
    <row r="2" spans="1:4" ht="28.8" x14ac:dyDescent="0.3">
      <c r="A2" s="4" t="s">
        <v>395</v>
      </c>
      <c r="B2" s="4" t="s">
        <v>396</v>
      </c>
      <c r="C2" s="4" t="s">
        <v>397</v>
      </c>
      <c r="D2" s="4" t="s">
        <v>398</v>
      </c>
    </row>
    <row r="3" spans="1:4" ht="28.8" x14ac:dyDescent="0.3">
      <c r="A3" s="4" t="s">
        <v>399</v>
      </c>
      <c r="B3" s="4" t="s">
        <v>400</v>
      </c>
      <c r="C3" s="4" t="s">
        <v>401</v>
      </c>
      <c r="D3" s="4" t="s">
        <v>402</v>
      </c>
    </row>
    <row r="4" spans="1:4" ht="28.8" x14ac:dyDescent="0.3">
      <c r="A4" s="4" t="s">
        <v>403</v>
      </c>
      <c r="B4" s="4" t="s">
        <v>404</v>
      </c>
      <c r="C4" s="4" t="s">
        <v>405</v>
      </c>
      <c r="D4" s="4" t="s">
        <v>406</v>
      </c>
    </row>
    <row r="5" spans="1:4" ht="28.8" x14ac:dyDescent="0.3">
      <c r="A5" s="4" t="s">
        <v>407</v>
      </c>
      <c r="B5" s="4" t="s">
        <v>408</v>
      </c>
      <c r="C5" s="4" t="s">
        <v>409</v>
      </c>
      <c r="D5" s="4" t="s">
        <v>410</v>
      </c>
    </row>
    <row r="6" spans="1:4" ht="28.8" x14ac:dyDescent="0.3">
      <c r="A6" s="4" t="s">
        <v>411</v>
      </c>
      <c r="B6" s="4" t="s">
        <v>412</v>
      </c>
      <c r="C6" s="4" t="s">
        <v>409</v>
      </c>
      <c r="D6" s="4" t="s">
        <v>413</v>
      </c>
    </row>
    <row r="7" spans="1:4" ht="28.8" x14ac:dyDescent="0.3">
      <c r="A7" s="4" t="s">
        <v>414</v>
      </c>
      <c r="B7" s="4" t="s">
        <v>415</v>
      </c>
      <c r="C7" s="4" t="s">
        <v>416</v>
      </c>
      <c r="D7" s="4" t="s">
        <v>417</v>
      </c>
    </row>
    <row r="8" spans="1:4" x14ac:dyDescent="0.3">
      <c r="A8" s="4" t="s">
        <v>418</v>
      </c>
      <c r="B8" s="4" t="s">
        <v>419</v>
      </c>
      <c r="C8" s="4" t="s">
        <v>58</v>
      </c>
      <c r="D8" s="4" t="s">
        <v>420</v>
      </c>
    </row>
  </sheetData>
  <autoFilter ref="A1:D8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7" activePane="bottomLeft" state="frozen"/>
      <selection pane="bottomLeft" activeCell="D11" sqref="D11"/>
    </sheetView>
  </sheetViews>
  <sheetFormatPr defaultRowHeight="14.4" x14ac:dyDescent="0.3"/>
  <cols>
    <col min="1" max="1" width="12" customWidth="1"/>
    <col min="2" max="2" width="42" customWidth="1"/>
    <col min="3" max="3" width="45" customWidth="1"/>
    <col min="4" max="4" width="13" customWidth="1"/>
  </cols>
  <sheetData>
    <row r="1" spans="1:4" ht="30" customHeight="1" x14ac:dyDescent="0.3">
      <c r="A1" s="3" t="s">
        <v>421</v>
      </c>
      <c r="B1" s="3" t="s">
        <v>422</v>
      </c>
      <c r="C1" s="3" t="s">
        <v>423</v>
      </c>
      <c r="D1" s="3" t="s">
        <v>424</v>
      </c>
    </row>
    <row r="2" spans="1:4" ht="28.8" x14ac:dyDescent="0.3">
      <c r="A2" s="4" t="s">
        <v>425</v>
      </c>
      <c r="B2" s="4" t="s">
        <v>426</v>
      </c>
      <c r="C2" s="4" t="s">
        <v>427</v>
      </c>
      <c r="D2" s="4" t="s">
        <v>428</v>
      </c>
    </row>
    <row r="3" spans="1:4" ht="28.8" x14ac:dyDescent="0.3">
      <c r="A3" s="4" t="s">
        <v>429</v>
      </c>
      <c r="B3" s="4" t="s">
        <v>430</v>
      </c>
      <c r="C3" s="4" t="s">
        <v>431</v>
      </c>
      <c r="D3" s="4" t="s">
        <v>22</v>
      </c>
    </row>
    <row r="4" spans="1:4" ht="43.2" x14ac:dyDescent="0.3">
      <c r="A4" s="4" t="s">
        <v>432</v>
      </c>
      <c r="B4" s="4" t="s">
        <v>433</v>
      </c>
      <c r="C4" s="4" t="s">
        <v>434</v>
      </c>
      <c r="D4" s="4" t="s">
        <v>29</v>
      </c>
    </row>
    <row r="5" spans="1:4" ht="28.8" x14ac:dyDescent="0.3">
      <c r="A5" s="4" t="s">
        <v>435</v>
      </c>
      <c r="B5" s="4" t="s">
        <v>436</v>
      </c>
      <c r="C5" s="4" t="s">
        <v>437</v>
      </c>
      <c r="D5" s="4" t="s">
        <v>35</v>
      </c>
    </row>
    <row r="6" spans="1:4" ht="43.2" x14ac:dyDescent="0.3">
      <c r="A6" s="4" t="s">
        <v>438</v>
      </c>
      <c r="B6" s="4" t="s">
        <v>439</v>
      </c>
      <c r="C6" s="4" t="s">
        <v>440</v>
      </c>
      <c r="D6" s="4" t="s">
        <v>41</v>
      </c>
    </row>
    <row r="7" spans="1:4" ht="43.2" x14ac:dyDescent="0.3">
      <c r="A7" s="4" t="s">
        <v>441</v>
      </c>
      <c r="B7" s="4" t="s">
        <v>442</v>
      </c>
      <c r="C7" s="4" t="s">
        <v>443</v>
      </c>
      <c r="D7" s="4" t="s">
        <v>47</v>
      </c>
    </row>
    <row r="8" spans="1:4" ht="43.2" x14ac:dyDescent="0.3">
      <c r="A8" s="4" t="s">
        <v>444</v>
      </c>
      <c r="B8" s="4" t="s">
        <v>445</v>
      </c>
      <c r="C8" s="4" t="s">
        <v>446</v>
      </c>
      <c r="D8" s="4" t="s">
        <v>53</v>
      </c>
    </row>
    <row r="9" spans="1:4" ht="43.2" x14ac:dyDescent="0.3">
      <c r="A9" s="4" t="s">
        <v>447</v>
      </c>
      <c r="B9" s="4" t="s">
        <v>448</v>
      </c>
      <c r="C9" s="4" t="s">
        <v>449</v>
      </c>
      <c r="D9" s="4" t="s">
        <v>58</v>
      </c>
    </row>
    <row r="10" spans="1:4" ht="43.2" x14ac:dyDescent="0.3">
      <c r="A10" s="4" t="s">
        <v>450</v>
      </c>
      <c r="B10" s="4" t="s">
        <v>451</v>
      </c>
      <c r="C10" s="4" t="s">
        <v>452</v>
      </c>
      <c r="D10" s="4" t="s">
        <v>64</v>
      </c>
    </row>
    <row r="11" spans="1:4" ht="28.8" x14ac:dyDescent="0.3">
      <c r="A11" s="4" t="s">
        <v>453</v>
      </c>
      <c r="B11" s="4" t="s">
        <v>454</v>
      </c>
      <c r="C11" s="4" t="s">
        <v>455</v>
      </c>
      <c r="D11" s="4" t="s">
        <v>70</v>
      </c>
    </row>
  </sheetData>
  <autoFilter ref="A1:D11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2" customWidth="1"/>
    <col min="2" max="2" width="24" customWidth="1"/>
    <col min="3" max="3" width="45" customWidth="1"/>
  </cols>
  <sheetData>
    <row r="1" spans="1:3" ht="30" customHeight="1" x14ac:dyDescent="0.3">
      <c r="A1" s="3" t="s">
        <v>456</v>
      </c>
      <c r="B1" s="3" t="s">
        <v>457</v>
      </c>
      <c r="C1" s="3" t="s">
        <v>1</v>
      </c>
    </row>
    <row r="2" spans="1:3" x14ac:dyDescent="0.3">
      <c r="A2" s="4" t="s">
        <v>425</v>
      </c>
      <c r="B2" s="4" t="s">
        <v>109</v>
      </c>
      <c r="C2" s="4" t="s">
        <v>458</v>
      </c>
    </row>
    <row r="3" spans="1:3" ht="28.8" x14ac:dyDescent="0.3">
      <c r="A3" s="4" t="s">
        <v>429</v>
      </c>
      <c r="B3" s="4" t="s">
        <v>459</v>
      </c>
      <c r="C3" s="4" t="s">
        <v>460</v>
      </c>
    </row>
    <row r="4" spans="1:3" x14ac:dyDescent="0.3">
      <c r="A4" s="4" t="s">
        <v>432</v>
      </c>
      <c r="B4" s="4" t="s">
        <v>461</v>
      </c>
      <c r="C4" s="4" t="s">
        <v>462</v>
      </c>
    </row>
    <row r="5" spans="1:3" x14ac:dyDescent="0.3">
      <c r="A5" s="4" t="s">
        <v>435</v>
      </c>
      <c r="B5" s="4" t="s">
        <v>463</v>
      </c>
      <c r="C5" s="4" t="s">
        <v>464</v>
      </c>
    </row>
    <row r="6" spans="1:3" x14ac:dyDescent="0.3">
      <c r="A6" s="4" t="s">
        <v>438</v>
      </c>
      <c r="B6" s="4" t="s">
        <v>465</v>
      </c>
      <c r="C6" s="4" t="s">
        <v>466</v>
      </c>
    </row>
    <row r="7" spans="1:3" x14ac:dyDescent="0.3">
      <c r="A7" s="4" t="s">
        <v>441</v>
      </c>
      <c r="B7" s="4" t="s">
        <v>48</v>
      </c>
      <c r="C7" s="4" t="s">
        <v>467</v>
      </c>
    </row>
    <row r="8" spans="1:3" x14ac:dyDescent="0.3">
      <c r="A8" s="4" t="s">
        <v>444</v>
      </c>
      <c r="B8" s="4" t="s">
        <v>468</v>
      </c>
      <c r="C8" s="4" t="s">
        <v>469</v>
      </c>
    </row>
    <row r="9" spans="1:3" ht="28.8" x14ac:dyDescent="0.3">
      <c r="A9" s="4" t="s">
        <v>447</v>
      </c>
      <c r="B9" s="4" t="s">
        <v>36</v>
      </c>
      <c r="C9" s="4" t="s">
        <v>470</v>
      </c>
    </row>
    <row r="10" spans="1:3" x14ac:dyDescent="0.3">
      <c r="A10" s="4" t="s">
        <v>450</v>
      </c>
      <c r="B10" s="4" t="s">
        <v>471</v>
      </c>
      <c r="C10" s="4" t="s">
        <v>472</v>
      </c>
    </row>
    <row r="11" spans="1:3" ht="28.8" x14ac:dyDescent="0.3">
      <c r="A11" s="4" t="s">
        <v>453</v>
      </c>
      <c r="B11" s="4" t="s">
        <v>473</v>
      </c>
      <c r="C11" s="4" t="s">
        <v>474</v>
      </c>
    </row>
    <row r="12" spans="1:3" ht="28.8" x14ac:dyDescent="0.3">
      <c r="A12" s="4" t="s">
        <v>475</v>
      </c>
      <c r="B12" s="4" t="s">
        <v>476</v>
      </c>
      <c r="C12" s="4" t="s">
        <v>477</v>
      </c>
    </row>
    <row r="13" spans="1:3" x14ac:dyDescent="0.3">
      <c r="A13" s="4" t="s">
        <v>478</v>
      </c>
      <c r="B13" s="4" t="s">
        <v>95</v>
      </c>
      <c r="C13" s="4" t="s">
        <v>479</v>
      </c>
    </row>
    <row r="14" spans="1:3" x14ac:dyDescent="0.3">
      <c r="A14" s="4" t="s">
        <v>480</v>
      </c>
      <c r="B14" s="4" t="s">
        <v>113</v>
      </c>
      <c r="C14" s="4" t="s">
        <v>481</v>
      </c>
    </row>
    <row r="15" spans="1:3" x14ac:dyDescent="0.3">
      <c r="A15" s="4" t="s">
        <v>482</v>
      </c>
      <c r="B15" s="4" t="s">
        <v>483</v>
      </c>
      <c r="C15" s="4" t="s">
        <v>484</v>
      </c>
    </row>
    <row r="16" spans="1:3" x14ac:dyDescent="0.3">
      <c r="A16" s="4" t="s">
        <v>485</v>
      </c>
      <c r="B16" s="4" t="s">
        <v>13</v>
      </c>
      <c r="C16" s="4" t="s">
        <v>486</v>
      </c>
    </row>
  </sheetData>
  <autoFilter ref="A1:C16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45" customWidth="1"/>
    <col min="2" max="2" width="15" customWidth="1"/>
    <col min="3" max="3" width="13" customWidth="1"/>
    <col min="4" max="4" width="12" customWidth="1"/>
    <col min="5" max="5" width="14" customWidth="1"/>
    <col min="6" max="6" width="13" customWidth="1"/>
  </cols>
  <sheetData>
    <row r="1" spans="1:6" ht="30" customHeight="1" x14ac:dyDescent="0.3">
      <c r="A1" s="3" t="s">
        <v>487</v>
      </c>
      <c r="B1" s="3" t="s">
        <v>488</v>
      </c>
      <c r="C1" s="3" t="s">
        <v>489</v>
      </c>
      <c r="D1" s="3" t="s">
        <v>490</v>
      </c>
      <c r="E1" s="3" t="s">
        <v>491</v>
      </c>
      <c r="F1" s="3" t="s">
        <v>492</v>
      </c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 t="s">
        <v>493</v>
      </c>
      <c r="B3" s="4" t="s">
        <v>494</v>
      </c>
      <c r="C3" s="4"/>
      <c r="D3" s="4"/>
      <c r="E3" s="4"/>
      <c r="F3" s="4"/>
    </row>
    <row r="4" spans="1:6" x14ac:dyDescent="0.3">
      <c r="A4" s="4" t="s">
        <v>495</v>
      </c>
      <c r="B4" s="4" t="s">
        <v>496</v>
      </c>
      <c r="C4" s="4" t="s">
        <v>497</v>
      </c>
      <c r="D4" s="4" t="s">
        <v>498</v>
      </c>
      <c r="E4" s="4" t="s">
        <v>499</v>
      </c>
      <c r="F4" s="4" t="s">
        <v>500</v>
      </c>
    </row>
    <row r="5" spans="1:6" x14ac:dyDescent="0.3">
      <c r="A5" s="4" t="s">
        <v>26</v>
      </c>
      <c r="B5" s="4">
        <v>10</v>
      </c>
      <c r="C5" s="4">
        <v>73</v>
      </c>
      <c r="D5" s="4">
        <v>6</v>
      </c>
      <c r="E5" s="4">
        <v>146</v>
      </c>
      <c r="F5" s="4">
        <v>235</v>
      </c>
    </row>
    <row r="6" spans="1:6" x14ac:dyDescent="0.3">
      <c r="A6" s="4" t="s">
        <v>48</v>
      </c>
      <c r="B6" s="4"/>
      <c r="C6" s="4">
        <v>20</v>
      </c>
      <c r="D6" s="4"/>
      <c r="E6" s="4">
        <v>8</v>
      </c>
      <c r="F6" s="4">
        <v>28</v>
      </c>
    </row>
    <row r="7" spans="1:6" x14ac:dyDescent="0.3">
      <c r="A7" s="4" t="s">
        <v>501</v>
      </c>
      <c r="B7" s="4">
        <v>0</v>
      </c>
      <c r="C7" s="4"/>
      <c r="D7" s="4"/>
      <c r="E7" s="4"/>
      <c r="F7" s="4">
        <v>0</v>
      </c>
    </row>
    <row r="8" spans="1:6" x14ac:dyDescent="0.3">
      <c r="A8" s="4" t="s">
        <v>502</v>
      </c>
      <c r="B8" s="4"/>
      <c r="C8" s="4"/>
      <c r="D8" s="4"/>
      <c r="E8" s="4">
        <v>117</v>
      </c>
      <c r="F8" s="4">
        <v>117</v>
      </c>
    </row>
    <row r="9" spans="1:6" x14ac:dyDescent="0.3">
      <c r="A9" s="4" t="s">
        <v>207</v>
      </c>
      <c r="B9" s="4"/>
      <c r="C9" s="4">
        <v>12</v>
      </c>
      <c r="D9" s="4">
        <v>6</v>
      </c>
      <c r="E9" s="4"/>
      <c r="F9" s="4">
        <v>18</v>
      </c>
    </row>
    <row r="10" spans="1:6" x14ac:dyDescent="0.3">
      <c r="A10" s="4" t="s">
        <v>503</v>
      </c>
      <c r="B10" s="4"/>
      <c r="C10" s="4">
        <v>6</v>
      </c>
      <c r="D10" s="4"/>
      <c r="E10" s="4"/>
      <c r="F10" s="4">
        <v>6</v>
      </c>
    </row>
    <row r="11" spans="1:6" x14ac:dyDescent="0.3">
      <c r="A11" s="4" t="s">
        <v>207</v>
      </c>
      <c r="B11" s="4"/>
      <c r="C11" s="4">
        <v>6</v>
      </c>
      <c r="D11" s="4">
        <v>6</v>
      </c>
      <c r="E11" s="4"/>
      <c r="F11" s="4">
        <v>12</v>
      </c>
    </row>
    <row r="12" spans="1:6" x14ac:dyDescent="0.3">
      <c r="A12" s="4" t="s">
        <v>78</v>
      </c>
      <c r="B12" s="4">
        <v>2</v>
      </c>
      <c r="C12" s="4">
        <v>14</v>
      </c>
      <c r="D12" s="4"/>
      <c r="E12" s="4">
        <v>4</v>
      </c>
      <c r="F12" s="4">
        <v>20</v>
      </c>
    </row>
    <row r="13" spans="1:6" x14ac:dyDescent="0.3">
      <c r="A13" s="4" t="s">
        <v>504</v>
      </c>
      <c r="B13" s="4"/>
      <c r="C13" s="4">
        <v>4</v>
      </c>
      <c r="D13" s="4"/>
      <c r="E13" s="4"/>
      <c r="F13" s="4">
        <v>4</v>
      </c>
    </row>
    <row r="14" spans="1:6" x14ac:dyDescent="0.3">
      <c r="A14" s="4" t="s">
        <v>503</v>
      </c>
      <c r="B14" s="4"/>
      <c r="C14" s="4">
        <v>1</v>
      </c>
      <c r="D14" s="4"/>
      <c r="E14" s="4"/>
      <c r="F14" s="4">
        <v>1</v>
      </c>
    </row>
    <row r="15" spans="1:6" x14ac:dyDescent="0.3">
      <c r="A15" s="4" t="s">
        <v>505</v>
      </c>
      <c r="B15" s="4"/>
      <c r="C15" s="4">
        <v>3</v>
      </c>
      <c r="D15" s="4"/>
      <c r="E15" s="4"/>
      <c r="F15" s="4">
        <v>3</v>
      </c>
    </row>
    <row r="16" spans="1:6" x14ac:dyDescent="0.3">
      <c r="A16" s="4" t="s">
        <v>506</v>
      </c>
      <c r="B16" s="4">
        <v>1</v>
      </c>
      <c r="C16" s="4"/>
      <c r="D16" s="4"/>
      <c r="E16" s="4"/>
      <c r="F16" s="4">
        <v>1</v>
      </c>
    </row>
    <row r="17" spans="1:6" x14ac:dyDescent="0.3">
      <c r="A17" s="4" t="s">
        <v>207</v>
      </c>
      <c r="B17" s="4">
        <v>1</v>
      </c>
      <c r="C17" s="4"/>
      <c r="D17" s="4"/>
      <c r="E17" s="4"/>
      <c r="F17" s="4">
        <v>1</v>
      </c>
    </row>
    <row r="18" spans="1:6" x14ac:dyDescent="0.3">
      <c r="A18" s="4" t="s">
        <v>113</v>
      </c>
      <c r="B18" s="4"/>
      <c r="C18" s="4">
        <v>2</v>
      </c>
      <c r="D18" s="4"/>
      <c r="E18" s="4">
        <v>1</v>
      </c>
      <c r="F18" s="4">
        <v>3</v>
      </c>
    </row>
    <row r="19" spans="1:6" x14ac:dyDescent="0.3">
      <c r="A19" s="4" t="s">
        <v>507</v>
      </c>
      <c r="B19" s="4"/>
      <c r="C19" s="4">
        <v>1</v>
      </c>
      <c r="D19" s="4"/>
      <c r="E19" s="4"/>
      <c r="F19" s="4">
        <v>1</v>
      </c>
    </row>
    <row r="20" spans="1:6" x14ac:dyDescent="0.3">
      <c r="A20" s="4" t="s">
        <v>85</v>
      </c>
      <c r="B20" s="4"/>
      <c r="C20" s="4">
        <v>2</v>
      </c>
      <c r="D20" s="4"/>
      <c r="E20" s="4">
        <v>1</v>
      </c>
      <c r="F20" s="4">
        <v>3</v>
      </c>
    </row>
    <row r="21" spans="1:6" x14ac:dyDescent="0.3">
      <c r="A21" s="4" t="s">
        <v>508</v>
      </c>
      <c r="B21" s="4"/>
      <c r="C21" s="4">
        <v>1</v>
      </c>
      <c r="D21" s="4"/>
      <c r="E21" s="4">
        <v>2</v>
      </c>
      <c r="F21" s="4">
        <v>3</v>
      </c>
    </row>
    <row r="22" spans="1:6" x14ac:dyDescent="0.3">
      <c r="A22" s="4" t="s">
        <v>509</v>
      </c>
      <c r="B22" s="4"/>
      <c r="C22" s="4">
        <v>18</v>
      </c>
      <c r="D22" s="4"/>
      <c r="E22" s="4">
        <v>12</v>
      </c>
      <c r="F22" s="4">
        <v>30</v>
      </c>
    </row>
    <row r="23" spans="1:6" x14ac:dyDescent="0.3">
      <c r="A23" s="4" t="s">
        <v>504</v>
      </c>
      <c r="B23" s="4"/>
      <c r="C23" s="4">
        <v>6</v>
      </c>
      <c r="D23" s="4"/>
      <c r="E23" s="4">
        <v>2</v>
      </c>
      <c r="F23" s="4">
        <v>8</v>
      </c>
    </row>
    <row r="24" spans="1:6" x14ac:dyDescent="0.3">
      <c r="A24" s="4" t="s">
        <v>135</v>
      </c>
      <c r="B24" s="4"/>
      <c r="C24" s="4">
        <v>6</v>
      </c>
      <c r="D24" s="4"/>
      <c r="E24" s="4">
        <v>8</v>
      </c>
      <c r="F24" s="4">
        <v>14</v>
      </c>
    </row>
    <row r="25" spans="1:6" x14ac:dyDescent="0.3">
      <c r="A25" s="4" t="s">
        <v>505</v>
      </c>
      <c r="B25" s="4"/>
      <c r="C25" s="4">
        <v>2</v>
      </c>
      <c r="D25" s="4"/>
      <c r="E25" s="4"/>
      <c r="F25" s="4">
        <v>2</v>
      </c>
    </row>
    <row r="26" spans="1:6" x14ac:dyDescent="0.3">
      <c r="A26" s="4" t="s">
        <v>127</v>
      </c>
      <c r="B26" s="4"/>
      <c r="C26" s="4">
        <v>2</v>
      </c>
      <c r="D26" s="4"/>
      <c r="E26" s="4"/>
      <c r="F26" s="4">
        <v>2</v>
      </c>
    </row>
    <row r="27" spans="1:6" x14ac:dyDescent="0.3">
      <c r="A27" s="4" t="s">
        <v>510</v>
      </c>
      <c r="B27" s="4"/>
      <c r="C27" s="4"/>
      <c r="D27" s="4"/>
      <c r="E27" s="4">
        <v>2</v>
      </c>
      <c r="F27" s="4">
        <v>2</v>
      </c>
    </row>
    <row r="28" spans="1:6" x14ac:dyDescent="0.3">
      <c r="A28" s="4" t="s">
        <v>511</v>
      </c>
      <c r="B28" s="4"/>
      <c r="C28" s="4">
        <v>2</v>
      </c>
      <c r="D28" s="4"/>
      <c r="E28" s="4"/>
      <c r="F28" s="4">
        <v>2</v>
      </c>
    </row>
    <row r="29" spans="1:6" x14ac:dyDescent="0.3">
      <c r="A29" s="4" t="s">
        <v>512</v>
      </c>
      <c r="B29" s="4">
        <v>5</v>
      </c>
      <c r="C29" s="4"/>
      <c r="D29" s="4"/>
      <c r="E29" s="4">
        <v>5</v>
      </c>
      <c r="F29" s="4">
        <v>10</v>
      </c>
    </row>
    <row r="30" spans="1:6" x14ac:dyDescent="0.3">
      <c r="A30" s="4" t="s">
        <v>508</v>
      </c>
      <c r="B30" s="4">
        <v>5</v>
      </c>
      <c r="C30" s="4"/>
      <c r="D30" s="4"/>
      <c r="E30" s="4">
        <v>5</v>
      </c>
      <c r="F30" s="4">
        <v>10</v>
      </c>
    </row>
    <row r="31" spans="1:6" x14ac:dyDescent="0.3">
      <c r="A31" s="4" t="s">
        <v>36</v>
      </c>
      <c r="B31" s="4">
        <v>3</v>
      </c>
      <c r="C31" s="4">
        <v>9</v>
      </c>
      <c r="D31" s="4"/>
      <c r="E31" s="4"/>
      <c r="F31" s="4">
        <v>12</v>
      </c>
    </row>
    <row r="32" spans="1:6" x14ac:dyDescent="0.3">
      <c r="A32" s="4" t="s">
        <v>468</v>
      </c>
      <c r="B32" s="4">
        <v>3</v>
      </c>
      <c r="C32" s="4">
        <v>3</v>
      </c>
      <c r="D32" s="4"/>
      <c r="E32" s="4"/>
      <c r="F32" s="4">
        <v>6</v>
      </c>
    </row>
    <row r="33" spans="1:6" x14ac:dyDescent="0.3">
      <c r="A33" s="4" t="s">
        <v>36</v>
      </c>
      <c r="B33" s="4"/>
      <c r="C33" s="4">
        <v>6</v>
      </c>
      <c r="D33" s="4"/>
      <c r="E33" s="4"/>
      <c r="F33" s="4">
        <v>6</v>
      </c>
    </row>
    <row r="34" spans="1:6" x14ac:dyDescent="0.3">
      <c r="A34" s="4" t="s">
        <v>51</v>
      </c>
      <c r="B34" s="4">
        <v>8</v>
      </c>
      <c r="C34" s="4">
        <v>99</v>
      </c>
      <c r="D34" s="4">
        <v>1</v>
      </c>
      <c r="E34" s="4">
        <v>234</v>
      </c>
      <c r="F34" s="4">
        <v>342</v>
      </c>
    </row>
    <row r="35" spans="1:6" x14ac:dyDescent="0.3">
      <c r="A35" s="4" t="s">
        <v>48</v>
      </c>
      <c r="B35" s="4"/>
      <c r="C35" s="4">
        <v>12</v>
      </c>
      <c r="D35" s="4"/>
      <c r="E35" s="4">
        <v>20</v>
      </c>
      <c r="F35" s="4">
        <v>32</v>
      </c>
    </row>
    <row r="36" spans="1:6" x14ac:dyDescent="0.3">
      <c r="A36" s="4" t="s">
        <v>501</v>
      </c>
      <c r="B36" s="4">
        <v>0</v>
      </c>
      <c r="C36" s="4"/>
      <c r="D36" s="4"/>
      <c r="E36" s="4"/>
      <c r="F36" s="4">
        <v>0</v>
      </c>
    </row>
    <row r="37" spans="1:6" x14ac:dyDescent="0.3">
      <c r="A37" s="4" t="s">
        <v>502</v>
      </c>
      <c r="B37" s="4"/>
      <c r="C37" s="4"/>
      <c r="D37" s="4"/>
      <c r="E37" s="4">
        <v>99</v>
      </c>
      <c r="F37" s="4">
        <v>99</v>
      </c>
    </row>
    <row r="38" spans="1:6" x14ac:dyDescent="0.3">
      <c r="A38" s="4" t="s">
        <v>207</v>
      </c>
      <c r="B38" s="4"/>
      <c r="C38" s="4">
        <v>30</v>
      </c>
      <c r="D38" s="4"/>
      <c r="E38" s="4">
        <v>6</v>
      </c>
      <c r="F38" s="4">
        <v>36</v>
      </c>
    </row>
    <row r="39" spans="1:6" x14ac:dyDescent="0.3">
      <c r="A39" s="4" t="s">
        <v>503</v>
      </c>
      <c r="B39" s="4"/>
      <c r="C39" s="4">
        <v>6</v>
      </c>
      <c r="D39" s="4"/>
      <c r="E39" s="4"/>
      <c r="F39" s="4">
        <v>6</v>
      </c>
    </row>
    <row r="40" spans="1:6" x14ac:dyDescent="0.3">
      <c r="A40" s="4" t="s">
        <v>207</v>
      </c>
      <c r="B40" s="4"/>
      <c r="C40" s="4">
        <v>6</v>
      </c>
      <c r="D40" s="4"/>
      <c r="E40" s="4">
        <v>6</v>
      </c>
      <c r="F40" s="4">
        <v>12</v>
      </c>
    </row>
    <row r="41" spans="1:6" x14ac:dyDescent="0.3">
      <c r="A41" s="4" t="s">
        <v>113</v>
      </c>
      <c r="B41" s="4"/>
      <c r="C41" s="4">
        <v>6</v>
      </c>
      <c r="D41" s="4"/>
      <c r="E41" s="4"/>
      <c r="F41" s="4">
        <v>6</v>
      </c>
    </row>
    <row r="42" spans="1:6" x14ac:dyDescent="0.3">
      <c r="A42" s="4" t="s">
        <v>508</v>
      </c>
      <c r="B42" s="4"/>
      <c r="C42" s="4">
        <v>6</v>
      </c>
      <c r="D42" s="4"/>
      <c r="E42" s="4"/>
      <c r="F42" s="4">
        <v>6</v>
      </c>
    </row>
    <row r="43" spans="1:6" x14ac:dyDescent="0.3">
      <c r="A43" s="4" t="s">
        <v>232</v>
      </c>
      <c r="B43" s="4"/>
      <c r="C43" s="4">
        <v>6</v>
      </c>
      <c r="D43" s="4"/>
      <c r="E43" s="4"/>
      <c r="F43" s="4">
        <v>6</v>
      </c>
    </row>
    <row r="44" spans="1:6" x14ac:dyDescent="0.3">
      <c r="A44" s="4" t="s">
        <v>78</v>
      </c>
      <c r="B44" s="4">
        <v>2</v>
      </c>
      <c r="C44" s="4">
        <v>6</v>
      </c>
      <c r="D44" s="4">
        <v>1</v>
      </c>
      <c r="E44" s="4">
        <v>1</v>
      </c>
      <c r="F44" s="4">
        <v>10</v>
      </c>
    </row>
    <row r="45" spans="1:6" x14ac:dyDescent="0.3">
      <c r="A45" s="4" t="s">
        <v>504</v>
      </c>
      <c r="B45" s="4">
        <v>2</v>
      </c>
      <c r="C45" s="4"/>
      <c r="D45" s="4"/>
      <c r="E45" s="4"/>
      <c r="F45" s="4">
        <v>2</v>
      </c>
    </row>
    <row r="46" spans="1:6" x14ac:dyDescent="0.3">
      <c r="A46" s="4" t="s">
        <v>513</v>
      </c>
      <c r="B46" s="4"/>
      <c r="C46" s="4">
        <v>1</v>
      </c>
      <c r="D46" s="4"/>
      <c r="E46" s="4"/>
      <c r="F46" s="4">
        <v>1</v>
      </c>
    </row>
    <row r="47" spans="1:6" x14ac:dyDescent="0.3">
      <c r="A47" s="4" t="s">
        <v>505</v>
      </c>
      <c r="B47" s="4"/>
      <c r="C47" s="4">
        <v>1</v>
      </c>
      <c r="D47" s="4"/>
      <c r="E47" s="4"/>
      <c r="F47" s="4">
        <v>1</v>
      </c>
    </row>
    <row r="48" spans="1:6" x14ac:dyDescent="0.3">
      <c r="A48" s="4" t="s">
        <v>127</v>
      </c>
      <c r="B48" s="4"/>
      <c r="C48" s="4">
        <v>2</v>
      </c>
      <c r="D48" s="4"/>
      <c r="E48" s="4"/>
      <c r="F48" s="4">
        <v>2</v>
      </c>
    </row>
    <row r="49" spans="1:6" x14ac:dyDescent="0.3">
      <c r="A49" s="4" t="s">
        <v>506</v>
      </c>
      <c r="B49" s="4"/>
      <c r="C49" s="4">
        <v>1</v>
      </c>
      <c r="D49" s="4"/>
      <c r="E49" s="4"/>
      <c r="F49" s="4">
        <v>1</v>
      </c>
    </row>
    <row r="50" spans="1:6" x14ac:dyDescent="0.3">
      <c r="A50" s="4" t="s">
        <v>113</v>
      </c>
      <c r="B50" s="4"/>
      <c r="C50" s="4"/>
      <c r="D50" s="4"/>
      <c r="E50" s="4">
        <v>1</v>
      </c>
      <c r="F50" s="4">
        <v>1</v>
      </c>
    </row>
    <row r="51" spans="1:6" x14ac:dyDescent="0.3">
      <c r="A51" s="4" t="s">
        <v>508</v>
      </c>
      <c r="B51" s="4"/>
      <c r="C51" s="4">
        <v>1</v>
      </c>
      <c r="D51" s="4"/>
      <c r="E51" s="4"/>
      <c r="F51" s="4">
        <v>1</v>
      </c>
    </row>
    <row r="52" spans="1:6" x14ac:dyDescent="0.3">
      <c r="A52" s="4" t="s">
        <v>511</v>
      </c>
      <c r="B52" s="4"/>
      <c r="C52" s="4"/>
      <c r="D52" s="4">
        <v>1</v>
      </c>
      <c r="E52" s="4"/>
      <c r="F52" s="4">
        <v>1</v>
      </c>
    </row>
    <row r="53" spans="1:6" x14ac:dyDescent="0.3">
      <c r="A53" s="4" t="s">
        <v>65</v>
      </c>
      <c r="B53" s="4"/>
      <c r="C53" s="4">
        <v>8</v>
      </c>
      <c r="D53" s="4"/>
      <c r="E53" s="4">
        <v>24</v>
      </c>
      <c r="F53" s="4">
        <v>32</v>
      </c>
    </row>
    <row r="54" spans="1:6" x14ac:dyDescent="0.3">
      <c r="A54" s="4" t="s">
        <v>506</v>
      </c>
      <c r="B54" s="4"/>
      <c r="C54" s="4">
        <v>8</v>
      </c>
      <c r="D54" s="4"/>
      <c r="E54" s="4">
        <v>8</v>
      </c>
      <c r="F54" s="4">
        <v>16</v>
      </c>
    </row>
    <row r="55" spans="1:6" x14ac:dyDescent="0.3">
      <c r="A55" s="4" t="s">
        <v>113</v>
      </c>
      <c r="B55" s="4"/>
      <c r="C55" s="4"/>
      <c r="D55" s="4"/>
      <c r="E55" s="4">
        <v>8</v>
      </c>
      <c r="F55" s="4">
        <v>8</v>
      </c>
    </row>
    <row r="56" spans="1:6" x14ac:dyDescent="0.3">
      <c r="A56" s="4" t="s">
        <v>232</v>
      </c>
      <c r="B56" s="4"/>
      <c r="C56" s="4"/>
      <c r="D56" s="4"/>
      <c r="E56" s="4">
        <v>8</v>
      </c>
      <c r="F56" s="4">
        <v>8</v>
      </c>
    </row>
    <row r="57" spans="1:6" x14ac:dyDescent="0.3">
      <c r="A57" s="4" t="s">
        <v>509</v>
      </c>
      <c r="B57" s="4">
        <v>6</v>
      </c>
      <c r="C57" s="4">
        <v>24</v>
      </c>
      <c r="D57" s="4"/>
      <c r="E57" s="4">
        <v>24</v>
      </c>
      <c r="F57" s="4">
        <v>54</v>
      </c>
    </row>
    <row r="58" spans="1:6" x14ac:dyDescent="0.3">
      <c r="A58" s="4" t="s">
        <v>504</v>
      </c>
      <c r="B58" s="4">
        <v>2</v>
      </c>
      <c r="C58" s="4">
        <v>6</v>
      </c>
      <c r="D58" s="4"/>
      <c r="E58" s="4">
        <v>2</v>
      </c>
      <c r="F58" s="4">
        <v>10</v>
      </c>
    </row>
    <row r="59" spans="1:6" x14ac:dyDescent="0.3">
      <c r="A59" s="4" t="s">
        <v>135</v>
      </c>
      <c r="B59" s="4"/>
      <c r="C59" s="4">
        <v>8</v>
      </c>
      <c r="D59" s="4"/>
      <c r="E59" s="4">
        <v>6</v>
      </c>
      <c r="F59" s="4">
        <v>14</v>
      </c>
    </row>
    <row r="60" spans="1:6" x14ac:dyDescent="0.3">
      <c r="A60" s="4" t="s">
        <v>505</v>
      </c>
      <c r="B60" s="4">
        <v>2</v>
      </c>
      <c r="C60" s="4">
        <v>4</v>
      </c>
      <c r="D60" s="4"/>
      <c r="E60" s="4">
        <v>2</v>
      </c>
      <c r="F60" s="4">
        <v>8</v>
      </c>
    </row>
    <row r="61" spans="1:6" x14ac:dyDescent="0.3">
      <c r="A61" s="4" t="s">
        <v>127</v>
      </c>
      <c r="B61" s="4"/>
      <c r="C61" s="4"/>
      <c r="D61" s="4"/>
      <c r="E61" s="4">
        <v>2</v>
      </c>
      <c r="F61" s="4">
        <v>2</v>
      </c>
    </row>
    <row r="62" spans="1:6" x14ac:dyDescent="0.3">
      <c r="A62" s="4" t="s">
        <v>510</v>
      </c>
      <c r="B62" s="4">
        <v>2</v>
      </c>
      <c r="C62" s="4">
        <v>6</v>
      </c>
      <c r="D62" s="4"/>
      <c r="E62" s="4">
        <v>8</v>
      </c>
      <c r="F62" s="4">
        <v>16</v>
      </c>
    </row>
    <row r="63" spans="1:6" x14ac:dyDescent="0.3">
      <c r="A63" s="4" t="s">
        <v>511</v>
      </c>
      <c r="B63" s="4"/>
      <c r="C63" s="4"/>
      <c r="D63" s="4"/>
      <c r="E63" s="4">
        <v>4</v>
      </c>
      <c r="F63" s="4">
        <v>4</v>
      </c>
    </row>
    <row r="64" spans="1:6" x14ac:dyDescent="0.3">
      <c r="A64" s="4" t="s">
        <v>512</v>
      </c>
      <c r="B64" s="4"/>
      <c r="C64" s="4">
        <v>10</v>
      </c>
      <c r="D64" s="4"/>
      <c r="E64" s="4">
        <v>45</v>
      </c>
      <c r="F64" s="4">
        <v>55</v>
      </c>
    </row>
    <row r="65" spans="1:6" x14ac:dyDescent="0.3">
      <c r="A65" s="4" t="s">
        <v>513</v>
      </c>
      <c r="B65" s="4"/>
      <c r="C65" s="4"/>
      <c r="D65" s="4"/>
      <c r="E65" s="4">
        <v>5</v>
      </c>
      <c r="F65" s="4">
        <v>5</v>
      </c>
    </row>
    <row r="66" spans="1:6" x14ac:dyDescent="0.3">
      <c r="A66" s="4" t="s">
        <v>85</v>
      </c>
      <c r="B66" s="4"/>
      <c r="C66" s="4">
        <v>10</v>
      </c>
      <c r="D66" s="4"/>
      <c r="E66" s="4">
        <v>15</v>
      </c>
      <c r="F66" s="4">
        <v>25</v>
      </c>
    </row>
    <row r="67" spans="1:6" x14ac:dyDescent="0.3">
      <c r="A67" s="4" t="s">
        <v>508</v>
      </c>
      <c r="B67" s="4"/>
      <c r="C67" s="4"/>
      <c r="D67" s="4"/>
      <c r="E67" s="4">
        <v>25</v>
      </c>
      <c r="F67" s="4">
        <v>25</v>
      </c>
    </row>
    <row r="68" spans="1:6" x14ac:dyDescent="0.3">
      <c r="A68" s="4" t="s">
        <v>36</v>
      </c>
      <c r="B68" s="4"/>
      <c r="C68" s="4">
        <v>9</v>
      </c>
      <c r="D68" s="4"/>
      <c r="E68" s="4">
        <v>15</v>
      </c>
      <c r="F68" s="4">
        <v>24</v>
      </c>
    </row>
    <row r="69" spans="1:6" x14ac:dyDescent="0.3">
      <c r="A69" s="4" t="s">
        <v>513</v>
      </c>
      <c r="B69" s="4"/>
      <c r="C69" s="4">
        <v>3</v>
      </c>
      <c r="D69" s="4"/>
      <c r="E69" s="4">
        <v>3</v>
      </c>
      <c r="F69" s="4">
        <v>6</v>
      </c>
    </row>
    <row r="70" spans="1:6" x14ac:dyDescent="0.3">
      <c r="A70" s="4" t="s">
        <v>36</v>
      </c>
      <c r="B70" s="4"/>
      <c r="C70" s="4">
        <v>6</v>
      </c>
      <c r="D70" s="4"/>
      <c r="E70" s="4">
        <v>12</v>
      </c>
      <c r="F70" s="4">
        <v>18</v>
      </c>
    </row>
    <row r="71" spans="1:6" x14ac:dyDescent="0.3">
      <c r="A71" s="4" t="s">
        <v>267</v>
      </c>
      <c r="B71" s="4">
        <v>3</v>
      </c>
      <c r="C71" s="4">
        <v>38</v>
      </c>
      <c r="D71" s="4"/>
      <c r="E71" s="4">
        <v>236</v>
      </c>
      <c r="F71" s="4">
        <v>277</v>
      </c>
    </row>
    <row r="72" spans="1:6" x14ac:dyDescent="0.3">
      <c r="A72" s="4" t="s">
        <v>54</v>
      </c>
      <c r="B72" s="4"/>
      <c r="C72" s="4"/>
      <c r="D72" s="4"/>
      <c r="E72" s="4">
        <v>133</v>
      </c>
      <c r="F72" s="4">
        <v>133</v>
      </c>
    </row>
    <row r="73" spans="1:6" x14ac:dyDescent="0.3">
      <c r="A73" s="4" t="s">
        <v>504</v>
      </c>
      <c r="B73" s="4"/>
      <c r="C73" s="4"/>
      <c r="D73" s="4"/>
      <c r="E73" s="4">
        <v>21</v>
      </c>
      <c r="F73" s="4">
        <v>21</v>
      </c>
    </row>
    <row r="74" spans="1:6" x14ac:dyDescent="0.3">
      <c r="A74" s="4" t="s">
        <v>514</v>
      </c>
      <c r="B74" s="4"/>
      <c r="C74" s="4"/>
      <c r="D74" s="4"/>
      <c r="E74" s="4">
        <v>14</v>
      </c>
      <c r="F74" s="4">
        <v>14</v>
      </c>
    </row>
    <row r="75" spans="1:6" x14ac:dyDescent="0.3">
      <c r="A75" s="4" t="s">
        <v>135</v>
      </c>
      <c r="B75" s="4"/>
      <c r="C75" s="4"/>
      <c r="D75" s="4"/>
      <c r="E75" s="4">
        <v>7</v>
      </c>
      <c r="F75" s="4">
        <v>7</v>
      </c>
    </row>
    <row r="76" spans="1:6" x14ac:dyDescent="0.3">
      <c r="A76" s="4" t="s">
        <v>505</v>
      </c>
      <c r="B76" s="4"/>
      <c r="C76" s="4"/>
      <c r="D76" s="4"/>
      <c r="E76" s="4">
        <v>35</v>
      </c>
      <c r="F76" s="4">
        <v>35</v>
      </c>
    </row>
    <row r="77" spans="1:6" x14ac:dyDescent="0.3">
      <c r="A77" s="4" t="s">
        <v>207</v>
      </c>
      <c r="B77" s="4"/>
      <c r="C77" s="4"/>
      <c r="D77" s="4"/>
      <c r="E77" s="4">
        <v>28</v>
      </c>
      <c r="F77" s="4">
        <v>28</v>
      </c>
    </row>
    <row r="78" spans="1:6" x14ac:dyDescent="0.3">
      <c r="A78" s="4" t="s">
        <v>510</v>
      </c>
      <c r="B78" s="4"/>
      <c r="C78" s="4"/>
      <c r="D78" s="4"/>
      <c r="E78" s="4">
        <v>28</v>
      </c>
      <c r="F78" s="4">
        <v>28</v>
      </c>
    </row>
    <row r="79" spans="1:6" x14ac:dyDescent="0.3">
      <c r="A79" s="4" t="s">
        <v>48</v>
      </c>
      <c r="B79" s="4"/>
      <c r="C79" s="4"/>
      <c r="D79" s="4"/>
      <c r="E79" s="4">
        <v>24</v>
      </c>
      <c r="F79" s="4">
        <v>24</v>
      </c>
    </row>
    <row r="80" spans="1:6" x14ac:dyDescent="0.3">
      <c r="A80" s="4" t="s">
        <v>501</v>
      </c>
      <c r="B80" s="4">
        <v>0</v>
      </c>
      <c r="C80" s="4"/>
      <c r="D80" s="4"/>
      <c r="E80" s="4"/>
      <c r="F80" s="4">
        <v>0</v>
      </c>
    </row>
    <row r="81" spans="1:6" x14ac:dyDescent="0.3">
      <c r="A81" s="4" t="s">
        <v>502</v>
      </c>
      <c r="B81" s="4"/>
      <c r="C81" s="4"/>
      <c r="D81" s="4"/>
      <c r="E81" s="4">
        <v>45</v>
      </c>
      <c r="F81" s="4">
        <v>45</v>
      </c>
    </row>
    <row r="82" spans="1:6" x14ac:dyDescent="0.3">
      <c r="A82" s="4" t="s">
        <v>207</v>
      </c>
      <c r="B82" s="4"/>
      <c r="C82" s="4">
        <v>12</v>
      </c>
      <c r="D82" s="4"/>
      <c r="E82" s="4"/>
      <c r="F82" s="4">
        <v>12</v>
      </c>
    </row>
    <row r="83" spans="1:6" x14ac:dyDescent="0.3">
      <c r="A83" s="4" t="s">
        <v>503</v>
      </c>
      <c r="B83" s="4"/>
      <c r="C83" s="4">
        <v>12</v>
      </c>
      <c r="D83" s="4"/>
      <c r="E83" s="4"/>
      <c r="F83" s="4">
        <v>12</v>
      </c>
    </row>
    <row r="84" spans="1:6" x14ac:dyDescent="0.3">
      <c r="A84" s="4" t="s">
        <v>78</v>
      </c>
      <c r="B84" s="4">
        <v>1</v>
      </c>
      <c r="C84" s="4"/>
      <c r="D84" s="4"/>
      <c r="E84" s="4"/>
      <c r="F84" s="4">
        <v>1</v>
      </c>
    </row>
    <row r="85" spans="1:6" x14ac:dyDescent="0.3">
      <c r="A85" s="4" t="s">
        <v>505</v>
      </c>
      <c r="B85" s="4">
        <v>1</v>
      </c>
      <c r="C85" s="4"/>
      <c r="D85" s="4"/>
      <c r="E85" s="4"/>
      <c r="F85" s="4">
        <v>1</v>
      </c>
    </row>
    <row r="86" spans="1:6" x14ac:dyDescent="0.3">
      <c r="A86" s="4" t="s">
        <v>65</v>
      </c>
      <c r="B86" s="4"/>
      <c r="C86" s="4">
        <v>8</v>
      </c>
      <c r="D86" s="4"/>
      <c r="E86" s="4">
        <v>8</v>
      </c>
      <c r="F86" s="4">
        <v>16</v>
      </c>
    </row>
    <row r="87" spans="1:6" x14ac:dyDescent="0.3">
      <c r="A87" s="4" t="s">
        <v>515</v>
      </c>
      <c r="B87" s="4"/>
      <c r="C87" s="4">
        <v>8</v>
      </c>
      <c r="D87" s="4"/>
      <c r="E87" s="4">
        <v>8</v>
      </c>
      <c r="F87" s="4">
        <v>16</v>
      </c>
    </row>
    <row r="88" spans="1:6" x14ac:dyDescent="0.3">
      <c r="A88" s="4" t="s">
        <v>509</v>
      </c>
      <c r="B88" s="4">
        <v>2</v>
      </c>
      <c r="C88" s="4">
        <v>12</v>
      </c>
      <c r="D88" s="4"/>
      <c r="E88" s="4">
        <v>6</v>
      </c>
      <c r="F88" s="4">
        <v>20</v>
      </c>
    </row>
    <row r="89" spans="1:6" x14ac:dyDescent="0.3">
      <c r="A89" s="4" t="s">
        <v>504</v>
      </c>
      <c r="B89" s="4"/>
      <c r="C89" s="4"/>
      <c r="D89" s="4"/>
      <c r="E89" s="4">
        <v>2</v>
      </c>
      <c r="F89" s="4">
        <v>2</v>
      </c>
    </row>
    <row r="90" spans="1:6" x14ac:dyDescent="0.3">
      <c r="A90" s="4" t="s">
        <v>514</v>
      </c>
      <c r="B90" s="4"/>
      <c r="C90" s="4">
        <v>2</v>
      </c>
      <c r="D90" s="4"/>
      <c r="E90" s="4"/>
      <c r="F90" s="4">
        <v>2</v>
      </c>
    </row>
    <row r="91" spans="1:6" x14ac:dyDescent="0.3">
      <c r="A91" s="4" t="s">
        <v>513</v>
      </c>
      <c r="B91" s="4"/>
      <c r="C91" s="4">
        <v>2</v>
      </c>
      <c r="D91" s="4"/>
      <c r="E91" s="4"/>
      <c r="F91" s="4">
        <v>2</v>
      </c>
    </row>
    <row r="92" spans="1:6" x14ac:dyDescent="0.3">
      <c r="A92" s="4" t="s">
        <v>505</v>
      </c>
      <c r="B92" s="4">
        <v>2</v>
      </c>
      <c r="C92" s="4">
        <v>6</v>
      </c>
      <c r="D92" s="4"/>
      <c r="E92" s="4"/>
      <c r="F92" s="4">
        <v>8</v>
      </c>
    </row>
    <row r="93" spans="1:6" x14ac:dyDescent="0.3">
      <c r="A93" s="4" t="s">
        <v>511</v>
      </c>
      <c r="B93" s="4"/>
      <c r="C93" s="4">
        <v>2</v>
      </c>
      <c r="D93" s="4"/>
      <c r="E93" s="4">
        <v>4</v>
      </c>
      <c r="F93" s="4">
        <v>6</v>
      </c>
    </row>
    <row r="94" spans="1:6" x14ac:dyDescent="0.3">
      <c r="A94" s="4" t="s">
        <v>512</v>
      </c>
      <c r="B94" s="4"/>
      <c r="C94" s="4"/>
      <c r="D94" s="4"/>
      <c r="E94" s="4">
        <v>20</v>
      </c>
      <c r="F94" s="4">
        <v>20</v>
      </c>
    </row>
    <row r="95" spans="1:6" x14ac:dyDescent="0.3">
      <c r="A95" s="4" t="s">
        <v>85</v>
      </c>
      <c r="B95" s="4"/>
      <c r="C95" s="4"/>
      <c r="D95" s="4"/>
      <c r="E95" s="4">
        <v>15</v>
      </c>
      <c r="F95" s="4">
        <v>15</v>
      </c>
    </row>
    <row r="96" spans="1:6" x14ac:dyDescent="0.3">
      <c r="A96" s="4" t="s">
        <v>508</v>
      </c>
      <c r="B96" s="4"/>
      <c r="C96" s="4"/>
      <c r="D96" s="4"/>
      <c r="E96" s="4">
        <v>5</v>
      </c>
      <c r="F96" s="4">
        <v>5</v>
      </c>
    </row>
    <row r="97" spans="1:6" x14ac:dyDescent="0.3">
      <c r="A97" s="4" t="s">
        <v>36</v>
      </c>
      <c r="B97" s="4"/>
      <c r="C97" s="4">
        <v>6</v>
      </c>
      <c r="D97" s="4"/>
      <c r="E97" s="4"/>
      <c r="F97" s="4">
        <v>6</v>
      </c>
    </row>
    <row r="98" spans="1:6" x14ac:dyDescent="0.3">
      <c r="A98" s="4" t="s">
        <v>468</v>
      </c>
      <c r="B98" s="4"/>
      <c r="C98" s="4">
        <v>3</v>
      </c>
      <c r="D98" s="4"/>
      <c r="E98" s="4"/>
      <c r="F98" s="4">
        <v>3</v>
      </c>
    </row>
    <row r="99" spans="1:6" x14ac:dyDescent="0.3">
      <c r="A99" s="4" t="s">
        <v>36</v>
      </c>
      <c r="B99" s="4"/>
      <c r="C99" s="4">
        <v>3</v>
      </c>
      <c r="D99" s="4"/>
      <c r="E99" s="4"/>
      <c r="F99" s="4">
        <v>3</v>
      </c>
    </row>
    <row r="100" spans="1:6" x14ac:dyDescent="0.3">
      <c r="A100" s="4" t="s">
        <v>500</v>
      </c>
      <c r="B100" s="4">
        <v>21</v>
      </c>
      <c r="C100" s="4">
        <v>210</v>
      </c>
      <c r="D100" s="4">
        <v>7</v>
      </c>
      <c r="E100" s="4">
        <v>616</v>
      </c>
      <c r="F100" s="4">
        <v>854</v>
      </c>
    </row>
  </sheetData>
  <autoFilter ref="A1:F100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59"/>
  <sheetViews>
    <sheetView workbookViewId="0">
      <pane ySplit="1" topLeftCell="A18" activePane="bottomLeft" state="frozen"/>
      <selection pane="bottomLeft"/>
    </sheetView>
  </sheetViews>
  <sheetFormatPr defaultRowHeight="14.4" x14ac:dyDescent="0.3"/>
  <cols>
    <col min="1" max="2" width="12" customWidth="1"/>
    <col min="3" max="3" width="45" customWidth="1"/>
    <col min="4" max="4" width="12" customWidth="1"/>
    <col min="5" max="5" width="21" customWidth="1"/>
    <col min="6" max="6" width="39" customWidth="1"/>
    <col min="7" max="7" width="45" customWidth="1"/>
    <col min="8" max="8" width="16" customWidth="1"/>
    <col min="9" max="9" width="12" customWidth="1"/>
    <col min="10" max="12" width="14" customWidth="1"/>
    <col min="13" max="15" width="45" customWidth="1"/>
    <col min="16" max="16" width="40" customWidth="1"/>
    <col min="17" max="17" width="12" customWidth="1"/>
    <col min="18" max="18" width="13" customWidth="1"/>
    <col min="19" max="19" width="12" customWidth="1"/>
    <col min="20" max="20" width="14" customWidth="1"/>
    <col min="21" max="21" width="21" customWidth="1"/>
    <col min="22" max="22" width="12" customWidth="1"/>
  </cols>
  <sheetData>
    <row r="1" spans="1:22" ht="30" customHeight="1" x14ac:dyDescent="0.3">
      <c r="A1" s="3" t="s">
        <v>516</v>
      </c>
      <c r="B1" s="3" t="s">
        <v>517</v>
      </c>
      <c r="C1" s="3" t="s">
        <v>518</v>
      </c>
      <c r="D1" s="3" t="s">
        <v>75</v>
      </c>
      <c r="E1" s="3" t="s">
        <v>519</v>
      </c>
      <c r="F1" s="3" t="s">
        <v>76</v>
      </c>
      <c r="G1" s="3" t="s">
        <v>520</v>
      </c>
      <c r="H1" s="3" t="s">
        <v>521</v>
      </c>
      <c r="I1" s="3" t="s">
        <v>19</v>
      </c>
      <c r="J1" s="3" t="s">
        <v>522</v>
      </c>
      <c r="K1" s="3" t="s">
        <v>523</v>
      </c>
      <c r="L1" s="3" t="s">
        <v>524</v>
      </c>
      <c r="M1" s="3" t="s">
        <v>525</v>
      </c>
      <c r="N1" s="3" t="s">
        <v>526</v>
      </c>
      <c r="O1" s="3" t="s">
        <v>527</v>
      </c>
      <c r="P1" s="3" t="s">
        <v>528</v>
      </c>
      <c r="Q1" s="3" t="s">
        <v>529</v>
      </c>
      <c r="R1" s="3" t="s">
        <v>530</v>
      </c>
      <c r="S1" s="3" t="s">
        <v>531</v>
      </c>
      <c r="T1" s="3" t="s">
        <v>532</v>
      </c>
      <c r="U1" s="3" t="s">
        <v>533</v>
      </c>
      <c r="V1" s="3" t="s">
        <v>534</v>
      </c>
    </row>
    <row r="2" spans="1:22" ht="28.8" x14ac:dyDescent="0.3">
      <c r="A2" s="4">
        <v>1</v>
      </c>
      <c r="B2" s="4">
        <v>0</v>
      </c>
      <c r="C2" s="4" t="s">
        <v>501</v>
      </c>
      <c r="D2" s="4" t="s">
        <v>535</v>
      </c>
      <c r="E2" s="4" t="s">
        <v>505</v>
      </c>
      <c r="F2" s="4" t="s">
        <v>536</v>
      </c>
      <c r="G2" s="4" t="s">
        <v>537</v>
      </c>
      <c r="H2" s="4" t="s">
        <v>538</v>
      </c>
      <c r="I2" s="4" t="s">
        <v>26</v>
      </c>
      <c r="J2" s="4" t="s">
        <v>496</v>
      </c>
      <c r="K2" s="4">
        <v>90</v>
      </c>
      <c r="L2" s="4"/>
      <c r="M2" s="4" t="s">
        <v>539</v>
      </c>
      <c r="N2" s="4" t="s">
        <v>540</v>
      </c>
      <c r="O2" s="4" t="s">
        <v>541</v>
      </c>
      <c r="P2" s="4" t="s">
        <v>542</v>
      </c>
      <c r="Q2" s="4"/>
      <c r="R2" s="4"/>
      <c r="S2" s="4"/>
      <c r="T2" s="4"/>
      <c r="U2" s="5">
        <v>46289</v>
      </c>
      <c r="V2" s="4"/>
    </row>
    <row r="3" spans="1:22" x14ac:dyDescent="0.3">
      <c r="A3" s="4">
        <v>2</v>
      </c>
      <c r="B3" s="4">
        <v>0</v>
      </c>
      <c r="C3" s="4" t="s">
        <v>501</v>
      </c>
      <c r="D3" s="4" t="s">
        <v>543</v>
      </c>
      <c r="E3" s="4" t="s">
        <v>505</v>
      </c>
      <c r="F3" s="4" t="s">
        <v>544</v>
      </c>
      <c r="G3" s="4" t="s">
        <v>545</v>
      </c>
      <c r="H3" s="4" t="s">
        <v>546</v>
      </c>
      <c r="I3" s="4" t="s">
        <v>51</v>
      </c>
      <c r="J3" s="4" t="s">
        <v>496</v>
      </c>
      <c r="K3" s="4">
        <v>90</v>
      </c>
      <c r="L3" s="4"/>
      <c r="M3" s="4" t="s">
        <v>547</v>
      </c>
      <c r="N3" s="4" t="s">
        <v>540</v>
      </c>
      <c r="O3" s="4" t="s">
        <v>548</v>
      </c>
      <c r="P3" s="4" t="s">
        <v>549</v>
      </c>
      <c r="Q3" s="4"/>
      <c r="R3" s="4"/>
      <c r="S3" s="4"/>
      <c r="T3" s="4"/>
      <c r="U3" s="5">
        <v>46289</v>
      </c>
      <c r="V3" s="4"/>
    </row>
    <row r="4" spans="1:22" x14ac:dyDescent="0.3">
      <c r="A4" s="4">
        <v>3</v>
      </c>
      <c r="B4" s="4">
        <v>0</v>
      </c>
      <c r="C4" s="4" t="s">
        <v>501</v>
      </c>
      <c r="D4" s="4" t="s">
        <v>550</v>
      </c>
      <c r="E4" s="4" t="s">
        <v>505</v>
      </c>
      <c r="F4" s="4" t="s">
        <v>551</v>
      </c>
      <c r="G4" s="4" t="s">
        <v>552</v>
      </c>
      <c r="H4" s="4" t="s">
        <v>546</v>
      </c>
      <c r="I4" s="4" t="s">
        <v>26</v>
      </c>
      <c r="J4" s="4" t="s">
        <v>496</v>
      </c>
      <c r="K4" s="4">
        <v>90</v>
      </c>
      <c r="L4" s="4"/>
      <c r="M4" s="4" t="s">
        <v>553</v>
      </c>
      <c r="N4" s="4" t="s">
        <v>554</v>
      </c>
      <c r="O4" s="4" t="s">
        <v>555</v>
      </c>
      <c r="P4" s="4">
        <v>7132017</v>
      </c>
      <c r="Q4" s="4"/>
      <c r="R4" s="4"/>
      <c r="S4" s="4"/>
      <c r="T4" s="4"/>
      <c r="U4" s="5">
        <v>46289</v>
      </c>
      <c r="V4" s="4"/>
    </row>
    <row r="5" spans="1:22" x14ac:dyDescent="0.3">
      <c r="A5" s="4">
        <v>4</v>
      </c>
      <c r="B5" s="4">
        <v>0</v>
      </c>
      <c r="C5" s="4" t="s">
        <v>501</v>
      </c>
      <c r="D5" s="4" t="s">
        <v>556</v>
      </c>
      <c r="E5" s="4" t="s">
        <v>511</v>
      </c>
      <c r="F5" s="4" t="s">
        <v>557</v>
      </c>
      <c r="G5" s="4" t="s">
        <v>558</v>
      </c>
      <c r="H5" s="4" t="s">
        <v>538</v>
      </c>
      <c r="I5" s="4" t="s">
        <v>26</v>
      </c>
      <c r="J5" s="4" t="s">
        <v>496</v>
      </c>
      <c r="K5" s="4">
        <v>90</v>
      </c>
      <c r="L5" s="4"/>
      <c r="M5" s="4" t="s">
        <v>559</v>
      </c>
      <c r="N5" s="4" t="s">
        <v>540</v>
      </c>
      <c r="O5" s="4" t="s">
        <v>560</v>
      </c>
      <c r="P5" s="4" t="s">
        <v>561</v>
      </c>
      <c r="Q5" s="4"/>
      <c r="R5" s="4"/>
      <c r="S5" s="4"/>
      <c r="T5" s="4"/>
      <c r="U5" s="5">
        <v>46289</v>
      </c>
      <c r="V5" s="4"/>
    </row>
    <row r="6" spans="1:22" x14ac:dyDescent="0.3">
      <c r="A6" s="4">
        <v>5</v>
      </c>
      <c r="B6" s="4">
        <v>0</v>
      </c>
      <c r="C6" s="4" t="s">
        <v>501</v>
      </c>
      <c r="D6" s="4" t="s">
        <v>562</v>
      </c>
      <c r="E6" s="4" t="s">
        <v>511</v>
      </c>
      <c r="F6" s="4" t="s">
        <v>563</v>
      </c>
      <c r="G6" s="4" t="s">
        <v>564</v>
      </c>
      <c r="H6" s="4" t="s">
        <v>538</v>
      </c>
      <c r="I6" s="4" t="s">
        <v>51</v>
      </c>
      <c r="J6" s="4" t="s">
        <v>496</v>
      </c>
      <c r="K6" s="4">
        <v>80</v>
      </c>
      <c r="L6" s="4"/>
      <c r="M6" s="4" t="s">
        <v>565</v>
      </c>
      <c r="N6" s="4" t="s">
        <v>540</v>
      </c>
      <c r="O6" s="4" t="s">
        <v>560</v>
      </c>
      <c r="P6" s="4" t="s">
        <v>566</v>
      </c>
      <c r="Q6" s="4"/>
      <c r="R6" s="4"/>
      <c r="S6" s="4"/>
      <c r="T6" s="4"/>
      <c r="U6" s="5">
        <v>46289</v>
      </c>
      <c r="V6" s="4"/>
    </row>
    <row r="7" spans="1:22" x14ac:dyDescent="0.3">
      <c r="A7" s="4">
        <v>6</v>
      </c>
      <c r="B7" s="4">
        <v>0</v>
      </c>
      <c r="C7" s="4" t="s">
        <v>501</v>
      </c>
      <c r="D7" s="4" t="s">
        <v>567</v>
      </c>
      <c r="E7" s="4" t="s">
        <v>511</v>
      </c>
      <c r="F7" s="4" t="s">
        <v>568</v>
      </c>
      <c r="G7" s="4" t="s">
        <v>569</v>
      </c>
      <c r="H7" s="4" t="s">
        <v>538</v>
      </c>
      <c r="I7" s="4" t="s">
        <v>51</v>
      </c>
      <c r="J7" s="4" t="s">
        <v>496</v>
      </c>
      <c r="K7" s="4">
        <v>80</v>
      </c>
      <c r="L7" s="4"/>
      <c r="M7" s="4" t="s">
        <v>570</v>
      </c>
      <c r="N7" s="4" t="s">
        <v>571</v>
      </c>
      <c r="O7" s="4" t="s">
        <v>560</v>
      </c>
      <c r="P7" s="4" t="s">
        <v>572</v>
      </c>
      <c r="Q7" s="4"/>
      <c r="R7" s="4"/>
      <c r="S7" s="4"/>
      <c r="T7" s="4"/>
      <c r="U7" s="5">
        <v>46289</v>
      </c>
      <c r="V7" s="4"/>
    </row>
    <row r="8" spans="1:22" x14ac:dyDescent="0.3">
      <c r="A8" s="4">
        <v>7</v>
      </c>
      <c r="B8" s="4">
        <v>0</v>
      </c>
      <c r="C8" s="4" t="s">
        <v>501</v>
      </c>
      <c r="D8" s="4" t="s">
        <v>573</v>
      </c>
      <c r="E8" s="4" t="s">
        <v>511</v>
      </c>
      <c r="F8" s="4" t="s">
        <v>574</v>
      </c>
      <c r="G8" s="4" t="s">
        <v>575</v>
      </c>
      <c r="H8" s="4" t="s">
        <v>538</v>
      </c>
      <c r="I8" s="4" t="s">
        <v>51</v>
      </c>
      <c r="J8" s="4" t="s">
        <v>496</v>
      </c>
      <c r="K8" s="4">
        <v>80</v>
      </c>
      <c r="L8" s="4"/>
      <c r="M8" s="4" t="s">
        <v>565</v>
      </c>
      <c r="N8" s="4" t="s">
        <v>540</v>
      </c>
      <c r="O8" s="4" t="s">
        <v>560</v>
      </c>
      <c r="P8" s="4" t="s">
        <v>576</v>
      </c>
      <c r="Q8" s="4"/>
      <c r="R8" s="4"/>
      <c r="S8" s="4"/>
      <c r="T8" s="4"/>
      <c r="U8" s="5">
        <v>46289</v>
      </c>
      <c r="V8" s="4"/>
    </row>
    <row r="9" spans="1:22" x14ac:dyDescent="0.3">
      <c r="A9" s="4">
        <v>8</v>
      </c>
      <c r="B9" s="4">
        <v>0</v>
      </c>
      <c r="C9" s="4" t="s">
        <v>501</v>
      </c>
      <c r="D9" s="4" t="s">
        <v>577</v>
      </c>
      <c r="E9" s="4" t="s">
        <v>511</v>
      </c>
      <c r="F9" s="4" t="s">
        <v>578</v>
      </c>
      <c r="G9" s="4" t="s">
        <v>579</v>
      </c>
      <c r="H9" s="4" t="s">
        <v>538</v>
      </c>
      <c r="I9" s="4" t="s">
        <v>51</v>
      </c>
      <c r="J9" s="4" t="s">
        <v>496</v>
      </c>
      <c r="K9" s="4">
        <v>80</v>
      </c>
      <c r="L9" s="4"/>
      <c r="M9" s="4" t="s">
        <v>580</v>
      </c>
      <c r="N9" s="4" t="s">
        <v>581</v>
      </c>
      <c r="O9" s="4" t="s">
        <v>582</v>
      </c>
      <c r="P9" s="4" t="s">
        <v>583</v>
      </c>
      <c r="Q9" s="4"/>
      <c r="R9" s="4"/>
      <c r="S9" s="4"/>
      <c r="T9" s="4"/>
      <c r="U9" s="5">
        <v>46289</v>
      </c>
      <c r="V9" s="4"/>
    </row>
    <row r="10" spans="1:22" x14ac:dyDescent="0.3">
      <c r="A10" s="4">
        <v>9</v>
      </c>
      <c r="B10" s="4">
        <v>0</v>
      </c>
      <c r="C10" s="4" t="s">
        <v>501</v>
      </c>
      <c r="D10" s="4" t="s">
        <v>584</v>
      </c>
      <c r="E10" s="4" t="s">
        <v>504</v>
      </c>
      <c r="F10" s="4" t="s">
        <v>585</v>
      </c>
      <c r="G10" s="4" t="s">
        <v>586</v>
      </c>
      <c r="H10" s="4" t="s">
        <v>538</v>
      </c>
      <c r="I10" s="4" t="s">
        <v>26</v>
      </c>
      <c r="J10" s="4" t="s">
        <v>496</v>
      </c>
      <c r="K10" s="4">
        <v>75</v>
      </c>
      <c r="L10" s="4"/>
      <c r="M10" s="4" t="s">
        <v>587</v>
      </c>
      <c r="N10" s="4" t="s">
        <v>588</v>
      </c>
      <c r="O10" s="4" t="s">
        <v>582</v>
      </c>
      <c r="P10" s="4" t="s">
        <v>589</v>
      </c>
      <c r="Q10" s="4"/>
      <c r="R10" s="4"/>
      <c r="S10" s="4"/>
      <c r="T10" s="4"/>
      <c r="U10" s="5">
        <v>46289</v>
      </c>
      <c r="V10" s="4"/>
    </row>
    <row r="11" spans="1:22" x14ac:dyDescent="0.3">
      <c r="A11" s="4">
        <v>10</v>
      </c>
      <c r="B11" s="4">
        <v>0</v>
      </c>
      <c r="C11" s="4" t="s">
        <v>501</v>
      </c>
      <c r="D11" s="4" t="s">
        <v>590</v>
      </c>
      <c r="E11" s="4" t="s">
        <v>504</v>
      </c>
      <c r="F11" s="4" t="s">
        <v>591</v>
      </c>
      <c r="G11" s="4" t="s">
        <v>592</v>
      </c>
      <c r="H11" s="4" t="s">
        <v>538</v>
      </c>
      <c r="I11" s="4" t="s">
        <v>26</v>
      </c>
      <c r="J11" s="4" t="s">
        <v>496</v>
      </c>
      <c r="K11" s="4">
        <v>85</v>
      </c>
      <c r="L11" s="4"/>
      <c r="M11" s="4" t="s">
        <v>593</v>
      </c>
      <c r="N11" s="4" t="s">
        <v>540</v>
      </c>
      <c r="O11" s="4" t="s">
        <v>582</v>
      </c>
      <c r="P11" s="4" t="s">
        <v>594</v>
      </c>
      <c r="Q11" s="4"/>
      <c r="R11" s="4"/>
      <c r="S11" s="4"/>
      <c r="T11" s="4"/>
      <c r="U11" s="5">
        <v>46289</v>
      </c>
      <c r="V11" s="4"/>
    </row>
    <row r="12" spans="1:22" x14ac:dyDescent="0.3">
      <c r="A12" s="4">
        <v>11</v>
      </c>
      <c r="B12" s="4">
        <v>0</v>
      </c>
      <c r="C12" s="4" t="s">
        <v>501</v>
      </c>
      <c r="D12" s="4" t="s">
        <v>595</v>
      </c>
      <c r="E12" s="4" t="s">
        <v>504</v>
      </c>
      <c r="F12" s="4" t="s">
        <v>596</v>
      </c>
      <c r="G12" s="4" t="s">
        <v>597</v>
      </c>
      <c r="H12" s="4" t="s">
        <v>538</v>
      </c>
      <c r="I12" s="4" t="s">
        <v>26</v>
      </c>
      <c r="J12" s="4" t="s">
        <v>496</v>
      </c>
      <c r="K12" s="4">
        <v>80</v>
      </c>
      <c r="L12" s="4"/>
      <c r="M12" s="4" t="s">
        <v>598</v>
      </c>
      <c r="N12" s="4" t="s">
        <v>540</v>
      </c>
      <c r="O12" s="4" t="s">
        <v>582</v>
      </c>
      <c r="P12" s="4" t="s">
        <v>599</v>
      </c>
      <c r="Q12" s="4"/>
      <c r="R12" s="4"/>
      <c r="S12" s="4"/>
      <c r="T12" s="4"/>
      <c r="U12" s="5">
        <v>46289</v>
      </c>
      <c r="V12" s="4"/>
    </row>
    <row r="13" spans="1:22" ht="28.8" x14ac:dyDescent="0.3">
      <c r="A13" s="4">
        <v>12</v>
      </c>
      <c r="B13" s="4">
        <v>0</v>
      </c>
      <c r="C13" s="4" t="s">
        <v>501</v>
      </c>
      <c r="D13" s="4" t="s">
        <v>600</v>
      </c>
      <c r="E13" s="4" t="s">
        <v>504</v>
      </c>
      <c r="F13" s="4" t="s">
        <v>601</v>
      </c>
      <c r="G13" s="4" t="s">
        <v>602</v>
      </c>
      <c r="H13" s="4" t="s">
        <v>538</v>
      </c>
      <c r="I13" s="4" t="s">
        <v>51</v>
      </c>
      <c r="J13" s="4" t="s">
        <v>496</v>
      </c>
      <c r="K13" s="4">
        <v>75</v>
      </c>
      <c r="L13" s="4"/>
      <c r="M13" s="4" t="s">
        <v>587</v>
      </c>
      <c r="N13" s="4" t="s">
        <v>603</v>
      </c>
      <c r="O13" s="4" t="s">
        <v>604</v>
      </c>
      <c r="P13" s="4" t="s">
        <v>605</v>
      </c>
      <c r="Q13" s="4"/>
      <c r="R13" s="4"/>
      <c r="S13" s="4"/>
      <c r="T13" s="4"/>
      <c r="U13" s="5">
        <v>46289</v>
      </c>
      <c r="V13" s="4"/>
    </row>
    <row r="14" spans="1:22" x14ac:dyDescent="0.3">
      <c r="A14" s="4">
        <v>13</v>
      </c>
      <c r="B14" s="4">
        <v>0</v>
      </c>
      <c r="C14" s="4" t="s">
        <v>501</v>
      </c>
      <c r="D14" s="4" t="s">
        <v>606</v>
      </c>
      <c r="E14" s="4" t="s">
        <v>85</v>
      </c>
      <c r="F14" s="4" t="s">
        <v>607</v>
      </c>
      <c r="G14" s="4" t="s">
        <v>608</v>
      </c>
      <c r="H14" s="4" t="s">
        <v>538</v>
      </c>
      <c r="I14" s="4" t="s">
        <v>26</v>
      </c>
      <c r="J14" s="4" t="s">
        <v>496</v>
      </c>
      <c r="K14" s="4">
        <v>75</v>
      </c>
      <c r="L14" s="4"/>
      <c r="M14" s="4" t="s">
        <v>609</v>
      </c>
      <c r="N14" s="4" t="s">
        <v>540</v>
      </c>
      <c r="O14" s="4" t="s">
        <v>604</v>
      </c>
      <c r="P14" s="4" t="s">
        <v>605</v>
      </c>
      <c r="Q14" s="4"/>
      <c r="R14" s="4"/>
      <c r="S14" s="4"/>
      <c r="T14" s="4"/>
      <c r="U14" s="5">
        <v>46289</v>
      </c>
      <c r="V14" s="4"/>
    </row>
    <row r="15" spans="1:22" x14ac:dyDescent="0.3">
      <c r="A15" s="4">
        <v>14</v>
      </c>
      <c r="B15" s="4">
        <v>0</v>
      </c>
      <c r="C15" s="4" t="s">
        <v>501</v>
      </c>
      <c r="D15" s="4" t="s">
        <v>610</v>
      </c>
      <c r="E15" s="4" t="s">
        <v>504</v>
      </c>
      <c r="F15" s="4" t="s">
        <v>611</v>
      </c>
      <c r="G15" s="4" t="s">
        <v>612</v>
      </c>
      <c r="H15" s="4" t="s">
        <v>538</v>
      </c>
      <c r="I15" s="4" t="s">
        <v>51</v>
      </c>
      <c r="J15" s="4" t="s">
        <v>496</v>
      </c>
      <c r="K15" s="4">
        <v>80</v>
      </c>
      <c r="L15" s="4"/>
      <c r="M15" s="4" t="s">
        <v>613</v>
      </c>
      <c r="N15" s="4" t="s">
        <v>540</v>
      </c>
      <c r="O15" s="4" t="s">
        <v>582</v>
      </c>
      <c r="P15" s="4" t="s">
        <v>614</v>
      </c>
      <c r="Q15" s="4"/>
      <c r="R15" s="4"/>
      <c r="S15" s="4"/>
      <c r="T15" s="4"/>
      <c r="U15" s="5">
        <v>46289</v>
      </c>
      <c r="V15" s="4"/>
    </row>
    <row r="16" spans="1:22" x14ac:dyDescent="0.3">
      <c r="A16" s="4">
        <v>15</v>
      </c>
      <c r="B16" s="4">
        <v>0</v>
      </c>
      <c r="C16" s="4" t="s">
        <v>501</v>
      </c>
      <c r="D16" s="4" t="s">
        <v>615</v>
      </c>
      <c r="E16" s="4" t="s">
        <v>504</v>
      </c>
      <c r="F16" s="4" t="s">
        <v>616</v>
      </c>
      <c r="G16" s="4" t="s">
        <v>617</v>
      </c>
      <c r="H16" s="4" t="s">
        <v>538</v>
      </c>
      <c r="I16" s="4" t="s">
        <v>26</v>
      </c>
      <c r="J16" s="4" t="s">
        <v>496</v>
      </c>
      <c r="K16" s="4">
        <v>80</v>
      </c>
      <c r="L16" s="4"/>
      <c r="M16" s="4" t="s">
        <v>618</v>
      </c>
      <c r="N16" s="4" t="s">
        <v>540</v>
      </c>
      <c r="O16" s="4" t="s">
        <v>582</v>
      </c>
      <c r="P16" s="4" t="s">
        <v>619</v>
      </c>
      <c r="Q16" s="4"/>
      <c r="R16" s="4"/>
      <c r="S16" s="4"/>
      <c r="T16" s="4"/>
      <c r="U16" s="5">
        <v>46289</v>
      </c>
      <c r="V16" s="4"/>
    </row>
    <row r="17" spans="1:22" x14ac:dyDescent="0.3">
      <c r="A17" s="4">
        <v>16</v>
      </c>
      <c r="B17" s="4">
        <v>0</v>
      </c>
      <c r="C17" s="4" t="s">
        <v>501</v>
      </c>
      <c r="D17" s="4" t="s">
        <v>620</v>
      </c>
      <c r="E17" s="4" t="s">
        <v>504</v>
      </c>
      <c r="F17" s="4" t="s">
        <v>621</v>
      </c>
      <c r="G17" s="4" t="s">
        <v>622</v>
      </c>
      <c r="H17" s="4" t="s">
        <v>538</v>
      </c>
      <c r="I17" s="4" t="s">
        <v>51</v>
      </c>
      <c r="J17" s="4" t="s">
        <v>496</v>
      </c>
      <c r="K17" s="4">
        <v>80</v>
      </c>
      <c r="L17" s="4"/>
      <c r="M17" s="4" t="s">
        <v>623</v>
      </c>
      <c r="N17" s="4" t="s">
        <v>624</v>
      </c>
      <c r="O17" s="4" t="s">
        <v>625</v>
      </c>
      <c r="P17" s="4" t="s">
        <v>626</v>
      </c>
      <c r="Q17" s="4"/>
      <c r="R17" s="4"/>
      <c r="S17" s="4"/>
      <c r="T17" s="4"/>
      <c r="U17" s="5">
        <v>46289</v>
      </c>
      <c r="V17" s="4"/>
    </row>
    <row r="18" spans="1:22" x14ac:dyDescent="0.3">
      <c r="A18" s="4">
        <v>17</v>
      </c>
      <c r="B18" s="4">
        <v>0</v>
      </c>
      <c r="C18" s="4" t="s">
        <v>501</v>
      </c>
      <c r="D18" s="4" t="s">
        <v>627</v>
      </c>
      <c r="E18" s="4" t="s">
        <v>468</v>
      </c>
      <c r="F18" s="4" t="s">
        <v>628</v>
      </c>
      <c r="G18" s="4" t="s">
        <v>629</v>
      </c>
      <c r="H18" s="4" t="s">
        <v>546</v>
      </c>
      <c r="I18" s="4" t="s">
        <v>26</v>
      </c>
      <c r="J18" s="4" t="s">
        <v>496</v>
      </c>
      <c r="K18" s="4">
        <v>75</v>
      </c>
      <c r="L18" s="4"/>
      <c r="M18" s="4" t="s">
        <v>630</v>
      </c>
      <c r="N18" s="4" t="s">
        <v>540</v>
      </c>
      <c r="O18" s="4" t="s">
        <v>631</v>
      </c>
      <c r="P18" s="4" t="s">
        <v>632</v>
      </c>
      <c r="Q18" s="4"/>
      <c r="R18" s="4"/>
      <c r="S18" s="4"/>
      <c r="T18" s="4"/>
      <c r="U18" s="5">
        <v>46289</v>
      </c>
      <c r="V18" s="4"/>
    </row>
    <row r="19" spans="1:22" x14ac:dyDescent="0.3">
      <c r="A19" s="4">
        <v>18</v>
      </c>
      <c r="B19" s="4">
        <v>0</v>
      </c>
      <c r="C19" s="4" t="s">
        <v>501</v>
      </c>
      <c r="D19" s="4" t="s">
        <v>633</v>
      </c>
      <c r="E19" s="4" t="s">
        <v>468</v>
      </c>
      <c r="F19" s="4" t="s">
        <v>634</v>
      </c>
      <c r="G19" s="4" t="s">
        <v>635</v>
      </c>
      <c r="H19" s="4" t="s">
        <v>538</v>
      </c>
      <c r="I19" s="4" t="s">
        <v>26</v>
      </c>
      <c r="J19" s="4" t="s">
        <v>496</v>
      </c>
      <c r="K19" s="4">
        <v>85</v>
      </c>
      <c r="L19" s="4"/>
      <c r="M19" s="4" t="s">
        <v>587</v>
      </c>
      <c r="N19" s="4" t="s">
        <v>540</v>
      </c>
      <c r="O19" s="4" t="s">
        <v>582</v>
      </c>
      <c r="P19" s="4" t="s">
        <v>636</v>
      </c>
      <c r="Q19" s="4"/>
      <c r="R19" s="4"/>
      <c r="S19" s="4"/>
      <c r="T19" s="4"/>
      <c r="U19" s="5">
        <v>46289</v>
      </c>
      <c r="V19" s="4"/>
    </row>
    <row r="20" spans="1:22" x14ac:dyDescent="0.3">
      <c r="A20" s="4">
        <v>19</v>
      </c>
      <c r="B20" s="4">
        <v>0</v>
      </c>
      <c r="C20" s="4" t="s">
        <v>501</v>
      </c>
      <c r="D20" s="4" t="s">
        <v>637</v>
      </c>
      <c r="E20" s="4" t="s">
        <v>468</v>
      </c>
      <c r="F20" s="4" t="s">
        <v>638</v>
      </c>
      <c r="G20" s="4" t="s">
        <v>639</v>
      </c>
      <c r="H20" s="4" t="s">
        <v>538</v>
      </c>
      <c r="I20" s="4" t="s">
        <v>26</v>
      </c>
      <c r="J20" s="4" t="s">
        <v>496</v>
      </c>
      <c r="K20" s="4">
        <v>75</v>
      </c>
      <c r="L20" s="4"/>
      <c r="M20" s="4" t="s">
        <v>587</v>
      </c>
      <c r="N20" s="4" t="s">
        <v>540</v>
      </c>
      <c r="O20" s="4" t="s">
        <v>640</v>
      </c>
      <c r="P20" s="4" t="s">
        <v>641</v>
      </c>
      <c r="Q20" s="4"/>
      <c r="R20" s="4"/>
      <c r="S20" s="4"/>
      <c r="T20" s="4"/>
      <c r="U20" s="5">
        <v>46289</v>
      </c>
      <c r="V20" s="4"/>
    </row>
    <row r="21" spans="1:22" x14ac:dyDescent="0.3">
      <c r="A21" s="4">
        <v>20</v>
      </c>
      <c r="B21" s="4">
        <v>0</v>
      </c>
      <c r="C21" s="4" t="s">
        <v>501</v>
      </c>
      <c r="D21" s="4" t="s">
        <v>642</v>
      </c>
      <c r="E21" s="4" t="s">
        <v>468</v>
      </c>
      <c r="F21" s="4" t="s">
        <v>643</v>
      </c>
      <c r="G21" s="4" t="s">
        <v>644</v>
      </c>
      <c r="H21" s="4" t="s">
        <v>538</v>
      </c>
      <c r="I21" s="4" t="s">
        <v>26</v>
      </c>
      <c r="J21" s="4" t="s">
        <v>496</v>
      </c>
      <c r="K21" s="4">
        <v>80</v>
      </c>
      <c r="L21" s="4"/>
      <c r="M21" s="4" t="s">
        <v>645</v>
      </c>
      <c r="N21" s="4" t="s">
        <v>540</v>
      </c>
      <c r="O21" s="4" t="s">
        <v>646</v>
      </c>
      <c r="P21" s="4" t="s">
        <v>647</v>
      </c>
      <c r="Q21" s="4"/>
      <c r="R21" s="4"/>
      <c r="S21" s="4"/>
      <c r="T21" s="4"/>
      <c r="U21" s="5">
        <v>46289</v>
      </c>
      <c r="V21" s="4"/>
    </row>
    <row r="22" spans="1:22" x14ac:dyDescent="0.3">
      <c r="A22" s="4">
        <v>21</v>
      </c>
      <c r="B22" s="4">
        <v>0</v>
      </c>
      <c r="C22" s="4" t="s">
        <v>501</v>
      </c>
      <c r="D22" s="4" t="s">
        <v>648</v>
      </c>
      <c r="E22" s="4" t="s">
        <v>468</v>
      </c>
      <c r="F22" s="4" t="s">
        <v>649</v>
      </c>
      <c r="G22" s="4" t="s">
        <v>650</v>
      </c>
      <c r="H22" s="4" t="s">
        <v>546</v>
      </c>
      <c r="I22" s="4" t="s">
        <v>51</v>
      </c>
      <c r="J22" s="4" t="s">
        <v>496</v>
      </c>
      <c r="K22" s="4">
        <v>80</v>
      </c>
      <c r="L22" s="4"/>
      <c r="M22" s="4" t="s">
        <v>651</v>
      </c>
      <c r="N22" s="4" t="s">
        <v>540</v>
      </c>
      <c r="O22" s="4" t="s">
        <v>646</v>
      </c>
      <c r="P22" s="4" t="s">
        <v>652</v>
      </c>
      <c r="Q22" s="4"/>
      <c r="R22" s="4"/>
      <c r="S22" s="4"/>
      <c r="T22" s="4"/>
      <c r="U22" s="5">
        <v>46289</v>
      </c>
      <c r="V22" s="4"/>
    </row>
    <row r="23" spans="1:22" x14ac:dyDescent="0.3">
      <c r="A23" s="4">
        <v>22</v>
      </c>
      <c r="B23" s="4">
        <v>0</v>
      </c>
      <c r="C23" s="4" t="s">
        <v>501</v>
      </c>
      <c r="D23" s="4" t="s">
        <v>653</v>
      </c>
      <c r="E23" s="4" t="s">
        <v>135</v>
      </c>
      <c r="F23" s="4" t="s">
        <v>654</v>
      </c>
      <c r="G23" s="4" t="s">
        <v>655</v>
      </c>
      <c r="H23" s="4" t="s">
        <v>538</v>
      </c>
      <c r="I23" s="4" t="s">
        <v>26</v>
      </c>
      <c r="J23" s="4" t="s">
        <v>496</v>
      </c>
      <c r="K23" s="4">
        <v>80</v>
      </c>
      <c r="L23" s="4"/>
      <c r="M23" s="4" t="s">
        <v>656</v>
      </c>
      <c r="N23" s="4" t="s">
        <v>657</v>
      </c>
      <c r="O23" s="4" t="s">
        <v>658</v>
      </c>
      <c r="P23" s="4" t="s">
        <v>659</v>
      </c>
      <c r="Q23" s="4"/>
      <c r="R23" s="4"/>
      <c r="S23" s="4"/>
      <c r="T23" s="4"/>
      <c r="U23" s="5">
        <v>46289</v>
      </c>
      <c r="V23" s="4"/>
    </row>
    <row r="24" spans="1:22" x14ac:dyDescent="0.3">
      <c r="A24" s="4">
        <v>23</v>
      </c>
      <c r="B24" s="4">
        <v>0</v>
      </c>
      <c r="C24" s="4" t="s">
        <v>501</v>
      </c>
      <c r="D24" s="4" t="s">
        <v>660</v>
      </c>
      <c r="E24" s="4" t="s">
        <v>135</v>
      </c>
      <c r="F24" s="4" t="s">
        <v>661</v>
      </c>
      <c r="G24" s="4" t="s">
        <v>662</v>
      </c>
      <c r="H24" s="4" t="s">
        <v>538</v>
      </c>
      <c r="I24" s="4" t="s">
        <v>26</v>
      </c>
      <c r="J24" s="4" t="s">
        <v>496</v>
      </c>
      <c r="K24" s="4">
        <v>90</v>
      </c>
      <c r="L24" s="4"/>
      <c r="M24" s="4" t="s">
        <v>587</v>
      </c>
      <c r="N24" s="4" t="s">
        <v>540</v>
      </c>
      <c r="O24" s="4" t="s">
        <v>663</v>
      </c>
      <c r="P24" s="4" t="s">
        <v>664</v>
      </c>
      <c r="Q24" s="4"/>
      <c r="R24" s="4"/>
      <c r="S24" s="4"/>
      <c r="T24" s="4"/>
      <c r="U24" s="5">
        <v>46289</v>
      </c>
      <c r="V24" s="4"/>
    </row>
    <row r="25" spans="1:22" x14ac:dyDescent="0.3">
      <c r="A25" s="4">
        <v>24</v>
      </c>
      <c r="B25" s="4">
        <v>0</v>
      </c>
      <c r="C25" s="4" t="s">
        <v>501</v>
      </c>
      <c r="D25" s="4" t="s">
        <v>665</v>
      </c>
      <c r="E25" s="4" t="s">
        <v>508</v>
      </c>
      <c r="F25" s="4" t="s">
        <v>666</v>
      </c>
      <c r="G25" s="4" t="s">
        <v>667</v>
      </c>
      <c r="H25" s="4" t="s">
        <v>668</v>
      </c>
      <c r="I25" s="4" t="s">
        <v>26</v>
      </c>
      <c r="J25" s="4" t="s">
        <v>496</v>
      </c>
      <c r="K25" s="4">
        <v>90</v>
      </c>
      <c r="L25" s="4"/>
      <c r="M25" s="4" t="s">
        <v>669</v>
      </c>
      <c r="N25" s="4" t="s">
        <v>670</v>
      </c>
      <c r="O25" s="4" t="s">
        <v>671</v>
      </c>
      <c r="P25" s="4" t="s">
        <v>672</v>
      </c>
      <c r="Q25" s="4"/>
      <c r="R25" s="4"/>
      <c r="S25" s="4"/>
      <c r="T25" s="4"/>
      <c r="U25" s="5">
        <v>46289</v>
      </c>
      <c r="V25" s="4"/>
    </row>
    <row r="26" spans="1:22" x14ac:dyDescent="0.3">
      <c r="A26" s="4">
        <v>25</v>
      </c>
      <c r="B26" s="4">
        <v>0</v>
      </c>
      <c r="C26" s="4" t="s">
        <v>501</v>
      </c>
      <c r="D26" s="4" t="s">
        <v>673</v>
      </c>
      <c r="E26" s="4" t="s">
        <v>508</v>
      </c>
      <c r="F26" s="4" t="s">
        <v>674</v>
      </c>
      <c r="G26" s="4" t="s">
        <v>667</v>
      </c>
      <c r="H26" s="4" t="s">
        <v>668</v>
      </c>
      <c r="I26" s="4" t="s">
        <v>26</v>
      </c>
      <c r="J26" s="4" t="s">
        <v>496</v>
      </c>
      <c r="K26" s="4">
        <v>90</v>
      </c>
      <c r="L26" s="4"/>
      <c r="M26" s="4" t="s">
        <v>669</v>
      </c>
      <c r="N26" s="4" t="s">
        <v>670</v>
      </c>
      <c r="O26" s="4" t="s">
        <v>671</v>
      </c>
      <c r="P26" s="4" t="s">
        <v>672</v>
      </c>
      <c r="Q26" s="4"/>
      <c r="R26" s="4"/>
      <c r="S26" s="4"/>
      <c r="T26" s="4"/>
      <c r="U26" s="5">
        <v>46289</v>
      </c>
      <c r="V26" s="4"/>
    </row>
    <row r="27" spans="1:22" x14ac:dyDescent="0.3">
      <c r="A27" s="4">
        <v>26</v>
      </c>
      <c r="B27" s="4">
        <v>0</v>
      </c>
      <c r="C27" s="4" t="s">
        <v>501</v>
      </c>
      <c r="D27" s="4" t="s">
        <v>675</v>
      </c>
      <c r="E27" s="4" t="s">
        <v>508</v>
      </c>
      <c r="F27" s="4" t="s">
        <v>676</v>
      </c>
      <c r="G27" s="4" t="s">
        <v>677</v>
      </c>
      <c r="H27" s="4" t="s">
        <v>668</v>
      </c>
      <c r="I27" s="4" t="s">
        <v>26</v>
      </c>
      <c r="J27" s="4" t="s">
        <v>496</v>
      </c>
      <c r="K27" s="4">
        <v>90</v>
      </c>
      <c r="L27" s="4"/>
      <c r="M27" s="4" t="s">
        <v>669</v>
      </c>
      <c r="N27" s="4" t="s">
        <v>670</v>
      </c>
      <c r="O27" s="4" t="s">
        <v>671</v>
      </c>
      <c r="P27" s="4" t="s">
        <v>672</v>
      </c>
      <c r="Q27" s="4"/>
      <c r="R27" s="4"/>
      <c r="S27" s="4"/>
      <c r="T27" s="4"/>
      <c r="U27" s="5">
        <v>46289</v>
      </c>
      <c r="V27" s="4"/>
    </row>
    <row r="28" spans="1:22" x14ac:dyDescent="0.3">
      <c r="A28" s="4">
        <v>27</v>
      </c>
      <c r="B28" s="4">
        <v>0</v>
      </c>
      <c r="C28" s="4" t="s">
        <v>501</v>
      </c>
      <c r="D28" s="4" t="s">
        <v>678</v>
      </c>
      <c r="E28" s="4" t="s">
        <v>508</v>
      </c>
      <c r="F28" s="4" t="s">
        <v>679</v>
      </c>
      <c r="G28" s="4" t="s">
        <v>680</v>
      </c>
      <c r="H28" s="4" t="s">
        <v>668</v>
      </c>
      <c r="I28" s="4" t="s">
        <v>26</v>
      </c>
      <c r="J28" s="4" t="s">
        <v>496</v>
      </c>
      <c r="K28" s="4">
        <v>90</v>
      </c>
      <c r="L28" s="4"/>
      <c r="M28" s="4" t="s">
        <v>669</v>
      </c>
      <c r="N28" s="4" t="s">
        <v>670</v>
      </c>
      <c r="O28" s="4" t="s">
        <v>671</v>
      </c>
      <c r="P28" s="4" t="s">
        <v>672</v>
      </c>
      <c r="Q28" s="4"/>
      <c r="R28" s="4"/>
      <c r="S28" s="4"/>
      <c r="T28" s="4"/>
      <c r="U28" s="5">
        <v>46289</v>
      </c>
      <c r="V28" s="4"/>
    </row>
    <row r="29" spans="1:22" x14ac:dyDescent="0.3">
      <c r="A29" s="4">
        <v>28</v>
      </c>
      <c r="B29" s="4">
        <v>0</v>
      </c>
      <c r="C29" s="4" t="s">
        <v>501</v>
      </c>
      <c r="D29" s="4" t="s">
        <v>681</v>
      </c>
      <c r="E29" s="4" t="s">
        <v>508</v>
      </c>
      <c r="F29" s="4" t="s">
        <v>682</v>
      </c>
      <c r="G29" s="4" t="s">
        <v>683</v>
      </c>
      <c r="H29" s="4" t="s">
        <v>538</v>
      </c>
      <c r="I29" s="4" t="s">
        <v>26</v>
      </c>
      <c r="J29" s="4" t="s">
        <v>496</v>
      </c>
      <c r="K29" s="4">
        <v>75</v>
      </c>
      <c r="L29" s="4"/>
      <c r="M29" s="4" t="s">
        <v>684</v>
      </c>
      <c r="N29" s="4" t="s">
        <v>540</v>
      </c>
      <c r="O29" s="4" t="s">
        <v>582</v>
      </c>
      <c r="P29" s="4" t="s">
        <v>659</v>
      </c>
      <c r="Q29" s="4"/>
      <c r="R29" s="4"/>
      <c r="S29" s="4"/>
      <c r="T29" s="4"/>
      <c r="U29" s="5">
        <v>46289</v>
      </c>
      <c r="V29" s="4"/>
    </row>
    <row r="30" spans="1:22" x14ac:dyDescent="0.3">
      <c r="A30" s="4">
        <v>29</v>
      </c>
      <c r="B30" s="4">
        <v>0</v>
      </c>
      <c r="C30" s="4" t="s">
        <v>501</v>
      </c>
      <c r="D30" s="4" t="s">
        <v>685</v>
      </c>
      <c r="E30" s="4" t="s">
        <v>207</v>
      </c>
      <c r="F30" s="4" t="s">
        <v>686</v>
      </c>
      <c r="G30" s="4" t="s">
        <v>687</v>
      </c>
      <c r="H30" s="4" t="s">
        <v>546</v>
      </c>
      <c r="I30" s="4" t="s">
        <v>26</v>
      </c>
      <c r="J30" s="4" t="s">
        <v>496</v>
      </c>
      <c r="K30" s="4">
        <v>75</v>
      </c>
      <c r="L30" s="4"/>
      <c r="M30" s="4" t="s">
        <v>688</v>
      </c>
      <c r="N30" s="4" t="s">
        <v>540</v>
      </c>
      <c r="O30" s="4" t="s">
        <v>689</v>
      </c>
      <c r="P30" s="4" t="s">
        <v>659</v>
      </c>
      <c r="Q30" s="4"/>
      <c r="R30" s="4"/>
      <c r="S30" s="4"/>
      <c r="T30" s="4"/>
      <c r="U30" s="5">
        <v>46289</v>
      </c>
      <c r="V30" s="4"/>
    </row>
    <row r="31" spans="1:22" x14ac:dyDescent="0.3">
      <c r="A31" s="4">
        <v>30</v>
      </c>
      <c r="B31" s="4">
        <v>0</v>
      </c>
      <c r="C31" s="4" t="s">
        <v>501</v>
      </c>
      <c r="D31" s="4" t="s">
        <v>690</v>
      </c>
      <c r="E31" s="4" t="s">
        <v>207</v>
      </c>
      <c r="F31" s="4" t="s">
        <v>691</v>
      </c>
      <c r="G31" s="4" t="s">
        <v>692</v>
      </c>
      <c r="H31" s="4" t="s">
        <v>538</v>
      </c>
      <c r="I31" s="4" t="s">
        <v>26</v>
      </c>
      <c r="J31" s="4" t="s">
        <v>496</v>
      </c>
      <c r="K31" s="4">
        <v>70</v>
      </c>
      <c r="L31" s="4"/>
      <c r="M31" s="4" t="s">
        <v>693</v>
      </c>
      <c r="N31" s="4" t="s">
        <v>540</v>
      </c>
      <c r="O31" s="4" t="s">
        <v>693</v>
      </c>
      <c r="P31" s="4" t="s">
        <v>659</v>
      </c>
      <c r="Q31" s="4"/>
      <c r="R31" s="4"/>
      <c r="S31" s="4"/>
      <c r="T31" s="4"/>
      <c r="U31" s="5">
        <v>46289</v>
      </c>
      <c r="V31" s="4"/>
    </row>
    <row r="32" spans="1:22" x14ac:dyDescent="0.3">
      <c r="A32" s="4">
        <v>31</v>
      </c>
      <c r="B32" s="4">
        <v>0</v>
      </c>
      <c r="C32" s="4" t="s">
        <v>501</v>
      </c>
      <c r="D32" s="4" t="s">
        <v>694</v>
      </c>
      <c r="E32" s="4" t="s">
        <v>207</v>
      </c>
      <c r="F32" s="4" t="s">
        <v>695</v>
      </c>
      <c r="G32" s="4" t="s">
        <v>696</v>
      </c>
      <c r="H32" s="4" t="s">
        <v>538</v>
      </c>
      <c r="I32" s="4" t="s">
        <v>26</v>
      </c>
      <c r="J32" s="4" t="s">
        <v>496</v>
      </c>
      <c r="K32" s="4">
        <v>75</v>
      </c>
      <c r="L32" s="4"/>
      <c r="M32" s="4" t="s">
        <v>587</v>
      </c>
      <c r="N32" s="4" t="s">
        <v>540</v>
      </c>
      <c r="O32" s="4" t="s">
        <v>697</v>
      </c>
      <c r="P32" s="4" t="s">
        <v>659</v>
      </c>
      <c r="Q32" s="4"/>
      <c r="R32" s="4"/>
      <c r="S32" s="4"/>
      <c r="T32" s="4"/>
      <c r="U32" s="5">
        <v>46289</v>
      </c>
      <c r="V32" s="4"/>
    </row>
    <row r="33" spans="1:22" x14ac:dyDescent="0.3">
      <c r="A33" s="4">
        <v>32</v>
      </c>
      <c r="B33" s="4">
        <v>0</v>
      </c>
      <c r="C33" s="4" t="s">
        <v>501</v>
      </c>
      <c r="D33" s="4" t="s">
        <v>698</v>
      </c>
      <c r="E33" s="4" t="s">
        <v>207</v>
      </c>
      <c r="F33" s="4" t="s">
        <v>699</v>
      </c>
      <c r="G33" s="4" t="s">
        <v>700</v>
      </c>
      <c r="H33" s="4" t="s">
        <v>668</v>
      </c>
      <c r="I33" s="4" t="s">
        <v>26</v>
      </c>
      <c r="J33" s="4" t="s">
        <v>496</v>
      </c>
      <c r="K33" s="4">
        <v>80</v>
      </c>
      <c r="L33" s="4"/>
      <c r="M33" s="4" t="s">
        <v>701</v>
      </c>
      <c r="N33" s="4" t="s">
        <v>540</v>
      </c>
      <c r="O33" s="4" t="s">
        <v>697</v>
      </c>
      <c r="P33" s="4" t="s">
        <v>702</v>
      </c>
      <c r="Q33" s="4"/>
      <c r="R33" s="4"/>
      <c r="S33" s="4"/>
      <c r="T33" s="4"/>
      <c r="U33" s="5">
        <v>46289</v>
      </c>
      <c r="V33" s="4"/>
    </row>
    <row r="34" spans="1:22" x14ac:dyDescent="0.3">
      <c r="A34" s="4">
        <v>33</v>
      </c>
      <c r="B34" s="4">
        <v>0</v>
      </c>
      <c r="C34" s="4" t="s">
        <v>501</v>
      </c>
      <c r="D34" s="4" t="s">
        <v>703</v>
      </c>
      <c r="E34" s="4" t="s">
        <v>207</v>
      </c>
      <c r="F34" s="4" t="s">
        <v>704</v>
      </c>
      <c r="G34" s="4" t="s">
        <v>705</v>
      </c>
      <c r="H34" s="4" t="s">
        <v>538</v>
      </c>
      <c r="I34" s="4" t="s">
        <v>51</v>
      </c>
      <c r="J34" s="4" t="s">
        <v>496</v>
      </c>
      <c r="K34" s="4">
        <v>70</v>
      </c>
      <c r="L34" s="4"/>
      <c r="M34" s="4" t="s">
        <v>706</v>
      </c>
      <c r="N34" s="4" t="s">
        <v>540</v>
      </c>
      <c r="O34" s="4" t="s">
        <v>697</v>
      </c>
      <c r="P34" s="4" t="s">
        <v>659</v>
      </c>
      <c r="Q34" s="4"/>
      <c r="R34" s="4"/>
      <c r="S34" s="4"/>
      <c r="T34" s="4"/>
      <c r="U34" s="5">
        <v>46289</v>
      </c>
      <c r="V34" s="4"/>
    </row>
    <row r="35" spans="1:22" x14ac:dyDescent="0.3">
      <c r="A35" s="4">
        <v>34</v>
      </c>
      <c r="B35" s="4">
        <v>0</v>
      </c>
      <c r="C35" s="4" t="s">
        <v>501</v>
      </c>
      <c r="D35" s="4" t="s">
        <v>707</v>
      </c>
      <c r="E35" s="4" t="s">
        <v>207</v>
      </c>
      <c r="F35" s="4" t="s">
        <v>708</v>
      </c>
      <c r="G35" s="4" t="s">
        <v>709</v>
      </c>
      <c r="H35" s="4" t="s">
        <v>538</v>
      </c>
      <c r="I35" s="4" t="s">
        <v>26</v>
      </c>
      <c r="J35" s="4" t="s">
        <v>496</v>
      </c>
      <c r="K35" s="4">
        <v>85</v>
      </c>
      <c r="L35" s="4"/>
      <c r="M35" s="4" t="s">
        <v>710</v>
      </c>
      <c r="N35" s="4" t="s">
        <v>540</v>
      </c>
      <c r="O35" s="4" t="s">
        <v>711</v>
      </c>
      <c r="P35" s="4" t="s">
        <v>712</v>
      </c>
      <c r="Q35" s="4"/>
      <c r="R35" s="4"/>
      <c r="S35" s="4"/>
      <c r="T35" s="4"/>
      <c r="U35" s="5">
        <v>46289</v>
      </c>
      <c r="V35" s="4"/>
    </row>
    <row r="36" spans="1:22" x14ac:dyDescent="0.3">
      <c r="A36" s="4">
        <v>35</v>
      </c>
      <c r="B36" s="4">
        <v>0</v>
      </c>
      <c r="C36" s="4" t="s">
        <v>501</v>
      </c>
      <c r="D36" s="4" t="s">
        <v>713</v>
      </c>
      <c r="E36" s="4" t="s">
        <v>207</v>
      </c>
      <c r="F36" s="4" t="s">
        <v>714</v>
      </c>
      <c r="G36" s="4" t="s">
        <v>715</v>
      </c>
      <c r="H36" s="4" t="s">
        <v>538</v>
      </c>
      <c r="I36" s="4" t="s">
        <v>26</v>
      </c>
      <c r="J36" s="4" t="s">
        <v>496</v>
      </c>
      <c r="K36" s="4">
        <v>85</v>
      </c>
      <c r="L36" s="4"/>
      <c r="M36" s="4" t="s">
        <v>587</v>
      </c>
      <c r="N36" s="4" t="s">
        <v>540</v>
      </c>
      <c r="O36" s="4" t="s">
        <v>716</v>
      </c>
      <c r="P36" s="4" t="s">
        <v>717</v>
      </c>
      <c r="Q36" s="4"/>
      <c r="R36" s="4"/>
      <c r="S36" s="4"/>
      <c r="T36" s="4"/>
      <c r="U36" s="5">
        <v>46289</v>
      </c>
      <c r="V36" s="4"/>
    </row>
    <row r="37" spans="1:22" x14ac:dyDescent="0.3">
      <c r="A37" s="4">
        <v>36</v>
      </c>
      <c r="B37" s="4">
        <v>0</v>
      </c>
      <c r="C37" s="4" t="s">
        <v>501</v>
      </c>
      <c r="D37" s="4" t="s">
        <v>718</v>
      </c>
      <c r="E37" s="4" t="s">
        <v>503</v>
      </c>
      <c r="F37" s="4" t="s">
        <v>719</v>
      </c>
      <c r="G37" s="4" t="s">
        <v>720</v>
      </c>
      <c r="H37" s="4" t="s">
        <v>538</v>
      </c>
      <c r="I37" s="4" t="s">
        <v>26</v>
      </c>
      <c r="J37" s="4" t="s">
        <v>496</v>
      </c>
      <c r="K37" s="4">
        <v>80</v>
      </c>
      <c r="L37" s="4"/>
      <c r="M37" s="4" t="s">
        <v>721</v>
      </c>
      <c r="N37" s="4" t="s">
        <v>540</v>
      </c>
      <c r="O37" s="4" t="s">
        <v>722</v>
      </c>
      <c r="P37" s="4" t="s">
        <v>659</v>
      </c>
      <c r="Q37" s="4"/>
      <c r="R37" s="4"/>
      <c r="S37" s="4"/>
      <c r="T37" s="4"/>
      <c r="U37" s="5">
        <v>46289</v>
      </c>
      <c r="V37" s="4"/>
    </row>
    <row r="38" spans="1:22" x14ac:dyDescent="0.3">
      <c r="A38" s="4">
        <v>37</v>
      </c>
      <c r="B38" s="4">
        <v>0</v>
      </c>
      <c r="C38" s="4" t="s">
        <v>501</v>
      </c>
      <c r="D38" s="4" t="s">
        <v>723</v>
      </c>
      <c r="E38" s="4" t="s">
        <v>503</v>
      </c>
      <c r="F38" s="4" t="s">
        <v>724</v>
      </c>
      <c r="G38" s="4" t="s">
        <v>725</v>
      </c>
      <c r="H38" s="4" t="s">
        <v>668</v>
      </c>
      <c r="I38" s="4" t="s">
        <v>26</v>
      </c>
      <c r="J38" s="4" t="s">
        <v>496</v>
      </c>
      <c r="K38" s="4">
        <v>75</v>
      </c>
      <c r="L38" s="4"/>
      <c r="M38" s="4" t="s">
        <v>726</v>
      </c>
      <c r="N38" s="4" t="s">
        <v>727</v>
      </c>
      <c r="O38" s="4" t="s">
        <v>716</v>
      </c>
      <c r="P38" s="4" t="s">
        <v>659</v>
      </c>
      <c r="Q38" s="4"/>
      <c r="R38" s="4"/>
      <c r="S38" s="4"/>
      <c r="T38" s="4"/>
      <c r="U38" s="5">
        <v>46289</v>
      </c>
      <c r="V38" s="4"/>
    </row>
    <row r="39" spans="1:22" x14ac:dyDescent="0.3">
      <c r="A39" s="4">
        <v>38</v>
      </c>
      <c r="B39" s="4">
        <v>0</v>
      </c>
      <c r="C39" s="4" t="s">
        <v>501</v>
      </c>
      <c r="D39" s="4" t="s">
        <v>728</v>
      </c>
      <c r="E39" s="4" t="s">
        <v>513</v>
      </c>
      <c r="F39" s="4" t="s">
        <v>729</v>
      </c>
      <c r="G39" s="4" t="s">
        <v>730</v>
      </c>
      <c r="H39" s="4" t="s">
        <v>538</v>
      </c>
      <c r="I39" s="4" t="s">
        <v>26</v>
      </c>
      <c r="J39" s="4" t="s">
        <v>496</v>
      </c>
      <c r="K39" s="4">
        <v>80</v>
      </c>
      <c r="L39" s="4"/>
      <c r="M39" s="4" t="s">
        <v>731</v>
      </c>
      <c r="N39" s="4" t="s">
        <v>540</v>
      </c>
      <c r="O39" s="4" t="s">
        <v>732</v>
      </c>
      <c r="P39" s="4" t="s">
        <v>659</v>
      </c>
      <c r="Q39" s="4"/>
      <c r="R39" s="4"/>
      <c r="S39" s="4"/>
      <c r="T39" s="4"/>
      <c r="U39" s="5">
        <v>46289</v>
      </c>
      <c r="V39" s="4"/>
    </row>
    <row r="40" spans="1:22" x14ac:dyDescent="0.3">
      <c r="A40" s="4">
        <v>39</v>
      </c>
      <c r="B40" s="4">
        <v>0</v>
      </c>
      <c r="C40" s="4" t="s">
        <v>501</v>
      </c>
      <c r="D40" s="4" t="s">
        <v>733</v>
      </c>
      <c r="E40" s="4" t="s">
        <v>513</v>
      </c>
      <c r="F40" s="4" t="s">
        <v>734</v>
      </c>
      <c r="G40" s="4" t="s">
        <v>730</v>
      </c>
      <c r="H40" s="4" t="s">
        <v>538</v>
      </c>
      <c r="I40" s="4" t="s">
        <v>51</v>
      </c>
      <c r="J40" s="4" t="s">
        <v>496</v>
      </c>
      <c r="K40" s="4">
        <v>75</v>
      </c>
      <c r="L40" s="4"/>
      <c r="M40" s="4" t="s">
        <v>735</v>
      </c>
      <c r="N40" s="4" t="s">
        <v>540</v>
      </c>
      <c r="O40" s="4" t="s">
        <v>732</v>
      </c>
      <c r="P40" s="4" t="s">
        <v>736</v>
      </c>
      <c r="Q40" s="4"/>
      <c r="R40" s="4"/>
      <c r="S40" s="4"/>
      <c r="T40" s="4"/>
      <c r="U40" s="5">
        <v>46289</v>
      </c>
      <c r="V40" s="4"/>
    </row>
    <row r="41" spans="1:22" x14ac:dyDescent="0.3">
      <c r="A41" s="4">
        <v>40</v>
      </c>
      <c r="B41" s="4">
        <v>0</v>
      </c>
      <c r="C41" s="4" t="s">
        <v>501</v>
      </c>
      <c r="D41" s="4" t="s">
        <v>737</v>
      </c>
      <c r="E41" s="4" t="s">
        <v>513</v>
      </c>
      <c r="F41" s="4" t="s">
        <v>738</v>
      </c>
      <c r="G41" s="4" t="s">
        <v>730</v>
      </c>
      <c r="H41" s="4" t="s">
        <v>538</v>
      </c>
      <c r="I41" s="4" t="s">
        <v>51</v>
      </c>
      <c r="J41" s="4" t="s">
        <v>496</v>
      </c>
      <c r="K41" s="4">
        <v>75</v>
      </c>
      <c r="L41" s="4"/>
      <c r="M41" s="4" t="s">
        <v>731</v>
      </c>
      <c r="N41" s="4" t="s">
        <v>540</v>
      </c>
      <c r="O41" s="4" t="s">
        <v>732</v>
      </c>
      <c r="P41" s="4" t="s">
        <v>659</v>
      </c>
      <c r="Q41" s="4"/>
      <c r="R41" s="4"/>
      <c r="S41" s="4"/>
      <c r="T41" s="4"/>
      <c r="U41" s="5">
        <v>46289</v>
      </c>
      <c r="V41" s="4"/>
    </row>
    <row r="42" spans="1:22" x14ac:dyDescent="0.3">
      <c r="A42" s="4">
        <v>41</v>
      </c>
      <c r="B42" s="4">
        <v>0</v>
      </c>
      <c r="C42" s="4" t="s">
        <v>501</v>
      </c>
      <c r="D42" s="4" t="s">
        <v>739</v>
      </c>
      <c r="E42" s="4" t="s">
        <v>513</v>
      </c>
      <c r="F42" s="4" t="s">
        <v>740</v>
      </c>
      <c r="G42" s="4" t="s">
        <v>730</v>
      </c>
      <c r="H42" s="4" t="s">
        <v>538</v>
      </c>
      <c r="I42" s="4" t="s">
        <v>51</v>
      </c>
      <c r="J42" s="4" t="s">
        <v>496</v>
      </c>
      <c r="K42" s="4">
        <v>70</v>
      </c>
      <c r="L42" s="4"/>
      <c r="M42" s="4" t="s">
        <v>741</v>
      </c>
      <c r="N42" s="4" t="s">
        <v>540</v>
      </c>
      <c r="O42" s="4" t="s">
        <v>732</v>
      </c>
      <c r="P42" s="4" t="s">
        <v>742</v>
      </c>
      <c r="Q42" s="4"/>
      <c r="R42" s="4"/>
      <c r="S42" s="4"/>
      <c r="T42" s="4"/>
      <c r="U42" s="5">
        <v>46289</v>
      </c>
      <c r="V42" s="4"/>
    </row>
    <row r="43" spans="1:22" x14ac:dyDescent="0.3">
      <c r="A43" s="4">
        <v>42</v>
      </c>
      <c r="B43" s="4">
        <v>0</v>
      </c>
      <c r="C43" s="4" t="s">
        <v>501</v>
      </c>
      <c r="D43" s="4" t="s">
        <v>743</v>
      </c>
      <c r="E43" s="4" t="s">
        <v>513</v>
      </c>
      <c r="F43" s="4" t="s">
        <v>744</v>
      </c>
      <c r="G43" s="4" t="s">
        <v>730</v>
      </c>
      <c r="H43" s="4" t="s">
        <v>538</v>
      </c>
      <c r="I43" s="4" t="s">
        <v>26</v>
      </c>
      <c r="J43" s="4" t="s">
        <v>496</v>
      </c>
      <c r="K43" s="4">
        <v>85</v>
      </c>
      <c r="L43" s="4"/>
      <c r="M43" s="4" t="s">
        <v>731</v>
      </c>
      <c r="N43" s="4" t="s">
        <v>540</v>
      </c>
      <c r="O43" s="4" t="s">
        <v>732</v>
      </c>
      <c r="P43" s="4" t="s">
        <v>745</v>
      </c>
      <c r="Q43" s="4"/>
      <c r="R43" s="4"/>
      <c r="S43" s="4"/>
      <c r="T43" s="4"/>
      <c r="U43" s="5">
        <v>46289</v>
      </c>
      <c r="V43" s="4"/>
    </row>
    <row r="44" spans="1:22" x14ac:dyDescent="0.3">
      <c r="A44" s="4">
        <v>43</v>
      </c>
      <c r="B44" s="4">
        <v>0</v>
      </c>
      <c r="C44" s="4" t="s">
        <v>501</v>
      </c>
      <c r="D44" s="4" t="s">
        <v>746</v>
      </c>
      <c r="E44" s="4" t="s">
        <v>513</v>
      </c>
      <c r="F44" s="4" t="s">
        <v>747</v>
      </c>
      <c r="G44" s="4" t="s">
        <v>730</v>
      </c>
      <c r="H44" s="4" t="s">
        <v>538</v>
      </c>
      <c r="I44" s="4" t="s">
        <v>26</v>
      </c>
      <c r="J44" s="4" t="s">
        <v>496</v>
      </c>
      <c r="K44" s="4">
        <v>85</v>
      </c>
      <c r="L44" s="4"/>
      <c r="M44" s="4" t="s">
        <v>731</v>
      </c>
      <c r="N44" s="4" t="s">
        <v>540</v>
      </c>
      <c r="O44" s="4" t="s">
        <v>732</v>
      </c>
      <c r="P44" s="4" t="s">
        <v>659</v>
      </c>
      <c r="Q44" s="4"/>
      <c r="R44" s="4"/>
      <c r="S44" s="4"/>
      <c r="T44" s="4"/>
      <c r="U44" s="5">
        <v>46289</v>
      </c>
      <c r="V44" s="4"/>
    </row>
    <row r="45" spans="1:22" x14ac:dyDescent="0.3">
      <c r="A45" s="4">
        <v>44</v>
      </c>
      <c r="B45" s="4">
        <v>0</v>
      </c>
      <c r="C45" s="4" t="s">
        <v>501</v>
      </c>
      <c r="D45" s="4" t="s">
        <v>748</v>
      </c>
      <c r="E45" s="4" t="s">
        <v>513</v>
      </c>
      <c r="F45" s="4" t="s">
        <v>749</v>
      </c>
      <c r="G45" s="4" t="s">
        <v>730</v>
      </c>
      <c r="H45" s="4" t="s">
        <v>538</v>
      </c>
      <c r="I45" s="4" t="s">
        <v>51</v>
      </c>
      <c r="J45" s="4" t="s">
        <v>496</v>
      </c>
      <c r="K45" s="4">
        <v>80</v>
      </c>
      <c r="L45" s="4"/>
      <c r="M45" s="4" t="s">
        <v>731</v>
      </c>
      <c r="N45" s="4" t="s">
        <v>540</v>
      </c>
      <c r="O45" s="4" t="s">
        <v>732</v>
      </c>
      <c r="P45" s="4" t="s">
        <v>659</v>
      </c>
      <c r="Q45" s="4"/>
      <c r="R45" s="4"/>
      <c r="S45" s="4"/>
      <c r="T45" s="4"/>
      <c r="U45" s="5">
        <v>46289</v>
      </c>
      <c r="V45" s="4"/>
    </row>
    <row r="46" spans="1:22" x14ac:dyDescent="0.3">
      <c r="A46" s="4">
        <v>45</v>
      </c>
      <c r="B46" s="4">
        <v>0</v>
      </c>
      <c r="C46" s="4" t="s">
        <v>501</v>
      </c>
      <c r="D46" s="4" t="s">
        <v>750</v>
      </c>
      <c r="E46" s="4" t="s">
        <v>513</v>
      </c>
      <c r="F46" s="4" t="s">
        <v>751</v>
      </c>
      <c r="G46" s="4" t="s">
        <v>730</v>
      </c>
      <c r="H46" s="4" t="s">
        <v>538</v>
      </c>
      <c r="I46" s="4" t="s">
        <v>51</v>
      </c>
      <c r="J46" s="4" t="s">
        <v>496</v>
      </c>
      <c r="K46" s="4">
        <v>80</v>
      </c>
      <c r="L46" s="4"/>
      <c r="M46" s="4" t="s">
        <v>731</v>
      </c>
      <c r="N46" s="4" t="s">
        <v>540</v>
      </c>
      <c r="O46" s="4" t="s">
        <v>732</v>
      </c>
      <c r="P46" s="4" t="s">
        <v>659</v>
      </c>
      <c r="Q46" s="4"/>
      <c r="R46" s="4"/>
      <c r="S46" s="4"/>
      <c r="T46" s="4"/>
      <c r="U46" s="5">
        <v>46289</v>
      </c>
      <c r="V46" s="4"/>
    </row>
    <row r="47" spans="1:22" x14ac:dyDescent="0.3">
      <c r="A47" s="4">
        <v>46</v>
      </c>
      <c r="B47" s="4">
        <v>0</v>
      </c>
      <c r="C47" s="4" t="s">
        <v>501</v>
      </c>
      <c r="D47" s="4" t="s">
        <v>752</v>
      </c>
      <c r="E47" s="4" t="s">
        <v>513</v>
      </c>
      <c r="F47" s="4" t="s">
        <v>753</v>
      </c>
      <c r="G47" s="4" t="s">
        <v>730</v>
      </c>
      <c r="H47" s="4" t="s">
        <v>538</v>
      </c>
      <c r="I47" s="4" t="s">
        <v>26</v>
      </c>
      <c r="J47" s="4" t="s">
        <v>496</v>
      </c>
      <c r="K47" s="4">
        <v>80</v>
      </c>
      <c r="L47" s="4"/>
      <c r="M47" s="4" t="s">
        <v>731</v>
      </c>
      <c r="N47" s="4" t="s">
        <v>540</v>
      </c>
      <c r="O47" s="4" t="s">
        <v>732</v>
      </c>
      <c r="P47" s="4" t="s">
        <v>754</v>
      </c>
      <c r="Q47" s="4"/>
      <c r="R47" s="4"/>
      <c r="S47" s="4"/>
      <c r="T47" s="4"/>
      <c r="U47" s="5">
        <v>46289</v>
      </c>
      <c r="V47" s="4"/>
    </row>
    <row r="48" spans="1:22" x14ac:dyDescent="0.3">
      <c r="A48" s="4">
        <v>47</v>
      </c>
      <c r="B48" s="4">
        <v>0</v>
      </c>
      <c r="C48" s="4" t="s">
        <v>501</v>
      </c>
      <c r="D48" s="4" t="s">
        <v>755</v>
      </c>
      <c r="E48" s="4" t="s">
        <v>513</v>
      </c>
      <c r="F48" s="4" t="s">
        <v>611</v>
      </c>
      <c r="G48" s="4" t="s">
        <v>730</v>
      </c>
      <c r="H48" s="4" t="s">
        <v>538</v>
      </c>
      <c r="I48" s="4" t="s">
        <v>26</v>
      </c>
      <c r="J48" s="4" t="s">
        <v>496</v>
      </c>
      <c r="K48" s="4">
        <v>85</v>
      </c>
      <c r="L48" s="4"/>
      <c r="M48" s="4" t="s">
        <v>731</v>
      </c>
      <c r="N48" s="4" t="s">
        <v>540</v>
      </c>
      <c r="O48" s="4" t="s">
        <v>732</v>
      </c>
      <c r="P48" s="4" t="s">
        <v>756</v>
      </c>
      <c r="Q48" s="4"/>
      <c r="R48" s="4"/>
      <c r="S48" s="4"/>
      <c r="T48" s="4"/>
      <c r="U48" s="5">
        <v>46289</v>
      </c>
      <c r="V48" s="4"/>
    </row>
    <row r="49" spans="1:22" x14ac:dyDescent="0.3">
      <c r="A49" s="4">
        <v>48</v>
      </c>
      <c r="B49" s="4">
        <v>0</v>
      </c>
      <c r="C49" s="4" t="s">
        <v>501</v>
      </c>
      <c r="D49" s="4" t="s">
        <v>757</v>
      </c>
      <c r="E49" s="4" t="s">
        <v>513</v>
      </c>
      <c r="F49" s="4" t="s">
        <v>758</v>
      </c>
      <c r="G49" s="4" t="s">
        <v>759</v>
      </c>
      <c r="H49" s="4" t="s">
        <v>546</v>
      </c>
      <c r="I49" s="4" t="s">
        <v>51</v>
      </c>
      <c r="J49" s="4" t="s">
        <v>496</v>
      </c>
      <c r="K49" s="4">
        <v>70</v>
      </c>
      <c r="L49" s="4"/>
      <c r="M49" s="4" t="s">
        <v>760</v>
      </c>
      <c r="N49" s="4" t="s">
        <v>540</v>
      </c>
      <c r="O49" s="4" t="s">
        <v>732</v>
      </c>
      <c r="P49" s="4" t="s">
        <v>761</v>
      </c>
      <c r="Q49" s="4"/>
      <c r="R49" s="4"/>
      <c r="S49" s="4"/>
      <c r="T49" s="4"/>
      <c r="U49" s="5">
        <v>46289</v>
      </c>
      <c r="V49" s="4"/>
    </row>
    <row r="50" spans="1:22" x14ac:dyDescent="0.3">
      <c r="A50" s="4">
        <v>49</v>
      </c>
      <c r="B50" s="4">
        <v>0</v>
      </c>
      <c r="C50" s="4" t="s">
        <v>501</v>
      </c>
      <c r="D50" s="4" t="s">
        <v>762</v>
      </c>
      <c r="E50" s="4" t="s">
        <v>513</v>
      </c>
      <c r="F50" s="4" t="s">
        <v>763</v>
      </c>
      <c r="G50" s="4" t="s">
        <v>764</v>
      </c>
      <c r="H50" s="4" t="s">
        <v>546</v>
      </c>
      <c r="I50" s="4" t="s">
        <v>51</v>
      </c>
      <c r="J50" s="4" t="s">
        <v>496</v>
      </c>
      <c r="K50" s="4">
        <v>80</v>
      </c>
      <c r="L50" s="4"/>
      <c r="M50" s="4" t="s">
        <v>765</v>
      </c>
      <c r="N50" s="4" t="s">
        <v>766</v>
      </c>
      <c r="O50" s="4" t="s">
        <v>765</v>
      </c>
      <c r="P50" s="4" t="s">
        <v>659</v>
      </c>
      <c r="Q50" s="4"/>
      <c r="R50" s="4"/>
      <c r="S50" s="4"/>
      <c r="T50" s="4"/>
      <c r="U50" s="5">
        <v>46289</v>
      </c>
      <c r="V50" s="4"/>
    </row>
    <row r="51" spans="1:22" x14ac:dyDescent="0.3">
      <c r="A51" s="4">
        <v>50</v>
      </c>
      <c r="B51" s="4">
        <v>0</v>
      </c>
      <c r="C51" s="4" t="s">
        <v>501</v>
      </c>
      <c r="D51" s="4" t="s">
        <v>376</v>
      </c>
      <c r="E51" s="4" t="s">
        <v>515</v>
      </c>
      <c r="F51" s="4" t="s">
        <v>767</v>
      </c>
      <c r="G51" s="4" t="s">
        <v>768</v>
      </c>
      <c r="H51" s="4" t="s">
        <v>538</v>
      </c>
      <c r="I51" s="4" t="s">
        <v>51</v>
      </c>
      <c r="J51" s="4" t="s">
        <v>496</v>
      </c>
      <c r="K51" s="4">
        <v>70</v>
      </c>
      <c r="L51" s="4"/>
      <c r="M51" s="4" t="s">
        <v>769</v>
      </c>
      <c r="N51" s="4" t="s">
        <v>540</v>
      </c>
      <c r="O51" s="4" t="s">
        <v>732</v>
      </c>
      <c r="P51" s="4" t="s">
        <v>659</v>
      </c>
      <c r="Q51" s="4"/>
      <c r="R51" s="4"/>
      <c r="S51" s="4"/>
      <c r="T51" s="4"/>
      <c r="U51" s="5">
        <v>46289</v>
      </c>
      <c r="V51" s="4"/>
    </row>
    <row r="52" spans="1:22" x14ac:dyDescent="0.3">
      <c r="A52" s="4">
        <v>51</v>
      </c>
      <c r="B52" s="4">
        <v>0</v>
      </c>
      <c r="C52" s="4" t="s">
        <v>501</v>
      </c>
      <c r="D52" s="4" t="s">
        <v>770</v>
      </c>
      <c r="E52" s="4" t="s">
        <v>515</v>
      </c>
      <c r="F52" s="4" t="s">
        <v>771</v>
      </c>
      <c r="G52" s="4" t="s">
        <v>772</v>
      </c>
      <c r="H52" s="4" t="s">
        <v>538</v>
      </c>
      <c r="I52" s="4" t="s">
        <v>26</v>
      </c>
      <c r="J52" s="4" t="s">
        <v>496</v>
      </c>
      <c r="K52" s="4">
        <v>80</v>
      </c>
      <c r="L52" s="4"/>
      <c r="M52" s="4" t="s">
        <v>773</v>
      </c>
      <c r="N52" s="4" t="s">
        <v>774</v>
      </c>
      <c r="O52" s="4" t="s">
        <v>775</v>
      </c>
      <c r="P52" s="4" t="s">
        <v>776</v>
      </c>
      <c r="Q52" s="4"/>
      <c r="R52" s="4"/>
      <c r="S52" s="4"/>
      <c r="T52" s="4"/>
      <c r="U52" s="5">
        <v>46289</v>
      </c>
      <c r="V52" s="4"/>
    </row>
    <row r="53" spans="1:22" x14ac:dyDescent="0.3">
      <c r="A53" s="4">
        <v>52</v>
      </c>
      <c r="B53" s="4">
        <v>0</v>
      </c>
      <c r="C53" s="4" t="s">
        <v>501</v>
      </c>
      <c r="D53" s="4" t="s">
        <v>777</v>
      </c>
      <c r="E53" s="4" t="s">
        <v>127</v>
      </c>
      <c r="F53" s="4" t="s">
        <v>778</v>
      </c>
      <c r="G53" s="4" t="s">
        <v>779</v>
      </c>
      <c r="H53" s="4" t="s">
        <v>538</v>
      </c>
      <c r="I53" s="4" t="s">
        <v>51</v>
      </c>
      <c r="J53" s="4" t="s">
        <v>496</v>
      </c>
      <c r="K53" s="4">
        <v>75</v>
      </c>
      <c r="L53" s="4"/>
      <c r="M53" s="4" t="s">
        <v>780</v>
      </c>
      <c r="N53" s="4" t="s">
        <v>781</v>
      </c>
      <c r="O53" s="4" t="s">
        <v>625</v>
      </c>
      <c r="P53" s="4" t="s">
        <v>659</v>
      </c>
      <c r="Q53" s="4"/>
      <c r="R53" s="4"/>
      <c r="S53" s="4"/>
      <c r="T53" s="4"/>
      <c r="U53" s="5">
        <v>46289</v>
      </c>
      <c r="V53" s="4"/>
    </row>
    <row r="54" spans="1:22" x14ac:dyDescent="0.3">
      <c r="A54" s="4">
        <v>53</v>
      </c>
      <c r="B54" s="4">
        <v>0</v>
      </c>
      <c r="C54" s="4" t="s">
        <v>501</v>
      </c>
      <c r="D54" s="4" t="s">
        <v>782</v>
      </c>
      <c r="E54" s="4" t="s">
        <v>127</v>
      </c>
      <c r="F54" s="4" t="s">
        <v>783</v>
      </c>
      <c r="G54" s="4" t="s">
        <v>784</v>
      </c>
      <c r="H54" s="4" t="s">
        <v>546</v>
      </c>
      <c r="I54" s="4" t="s">
        <v>267</v>
      </c>
      <c r="J54" s="4" t="s">
        <v>496</v>
      </c>
      <c r="K54" s="4">
        <v>70</v>
      </c>
      <c r="L54" s="4"/>
      <c r="M54" s="4" t="s">
        <v>785</v>
      </c>
      <c r="N54" s="4" t="s">
        <v>540</v>
      </c>
      <c r="O54" s="4" t="s">
        <v>785</v>
      </c>
      <c r="P54" s="4" t="s">
        <v>659</v>
      </c>
      <c r="Q54" s="4"/>
      <c r="R54" s="4"/>
      <c r="S54" s="4"/>
      <c r="T54" s="4"/>
      <c r="U54" s="5">
        <v>46289</v>
      </c>
      <c r="V54" s="4"/>
    </row>
    <row r="55" spans="1:22" x14ac:dyDescent="0.3">
      <c r="A55" s="4">
        <v>54</v>
      </c>
      <c r="B55" s="4">
        <v>0</v>
      </c>
      <c r="C55" s="4" t="s">
        <v>501</v>
      </c>
      <c r="D55" s="4" t="s">
        <v>786</v>
      </c>
      <c r="E55" s="4" t="s">
        <v>232</v>
      </c>
      <c r="F55" s="4" t="s">
        <v>787</v>
      </c>
      <c r="G55" s="4" t="s">
        <v>788</v>
      </c>
      <c r="H55" s="4" t="s">
        <v>538</v>
      </c>
      <c r="I55" s="4" t="s">
        <v>26</v>
      </c>
      <c r="J55" s="4" t="s">
        <v>496</v>
      </c>
      <c r="K55" s="4">
        <v>70</v>
      </c>
      <c r="L55" s="4"/>
      <c r="M55" s="4" t="s">
        <v>789</v>
      </c>
      <c r="N55" s="4" t="s">
        <v>790</v>
      </c>
      <c r="O55" s="4" t="s">
        <v>791</v>
      </c>
      <c r="P55" s="4" t="s">
        <v>659</v>
      </c>
      <c r="Q55" s="4"/>
      <c r="R55" s="4"/>
      <c r="S55" s="4"/>
      <c r="T55" s="4"/>
      <c r="U55" s="5">
        <v>46289</v>
      </c>
      <c r="V55" s="4"/>
    </row>
    <row r="56" spans="1:22" x14ac:dyDescent="0.3">
      <c r="A56" s="4">
        <v>55</v>
      </c>
      <c r="B56" s="4">
        <v>0</v>
      </c>
      <c r="C56" s="4" t="s">
        <v>501</v>
      </c>
      <c r="D56" s="4" t="s">
        <v>792</v>
      </c>
      <c r="E56" s="4" t="s">
        <v>113</v>
      </c>
      <c r="F56" s="4" t="s">
        <v>793</v>
      </c>
      <c r="G56" s="4" t="s">
        <v>794</v>
      </c>
      <c r="H56" s="4" t="s">
        <v>546</v>
      </c>
      <c r="I56" s="4" t="s">
        <v>51</v>
      </c>
      <c r="J56" s="4" t="s">
        <v>496</v>
      </c>
      <c r="K56" s="4">
        <v>70</v>
      </c>
      <c r="L56" s="4"/>
      <c r="M56" s="4" t="s">
        <v>587</v>
      </c>
      <c r="N56" s="4" t="s">
        <v>540</v>
      </c>
      <c r="O56" s="4" t="s">
        <v>795</v>
      </c>
      <c r="P56" s="4" t="s">
        <v>796</v>
      </c>
      <c r="Q56" s="4"/>
      <c r="R56" s="4"/>
      <c r="S56" s="4"/>
      <c r="T56" s="4"/>
      <c r="U56" s="5">
        <v>46289</v>
      </c>
      <c r="V56" s="4"/>
    </row>
    <row r="57" spans="1:22" x14ac:dyDescent="0.3">
      <c r="A57" s="4">
        <v>56</v>
      </c>
      <c r="B57" s="4">
        <v>0</v>
      </c>
      <c r="C57" s="4" t="s">
        <v>501</v>
      </c>
      <c r="D57" s="4" t="s">
        <v>797</v>
      </c>
      <c r="E57" s="4" t="s">
        <v>113</v>
      </c>
      <c r="F57" s="4" t="s">
        <v>798</v>
      </c>
      <c r="G57" s="4" t="s">
        <v>799</v>
      </c>
      <c r="H57" s="4" t="s">
        <v>546</v>
      </c>
      <c r="I57" s="4" t="s">
        <v>267</v>
      </c>
      <c r="J57" s="4" t="s">
        <v>496</v>
      </c>
      <c r="K57" s="4">
        <v>65</v>
      </c>
      <c r="L57" s="4"/>
      <c r="M57" s="4" t="s">
        <v>800</v>
      </c>
      <c r="N57" s="4" t="s">
        <v>540</v>
      </c>
      <c r="O57" s="4" t="s">
        <v>800</v>
      </c>
      <c r="P57" s="4" t="s">
        <v>659</v>
      </c>
      <c r="Q57" s="4"/>
      <c r="R57" s="4"/>
      <c r="S57" s="4"/>
      <c r="T57" s="4"/>
      <c r="U57" s="5">
        <v>46289</v>
      </c>
      <c r="V57" s="4"/>
    </row>
    <row r="58" spans="1:22" x14ac:dyDescent="0.3">
      <c r="A58" s="4">
        <v>57</v>
      </c>
      <c r="B58" s="4">
        <v>0</v>
      </c>
      <c r="C58" s="4" t="s">
        <v>501</v>
      </c>
      <c r="D58" s="4" t="s">
        <v>370</v>
      </c>
      <c r="E58" s="4" t="s">
        <v>506</v>
      </c>
      <c r="F58" s="4" t="s">
        <v>801</v>
      </c>
      <c r="G58" s="4" t="s">
        <v>802</v>
      </c>
      <c r="H58" s="4" t="s">
        <v>546</v>
      </c>
      <c r="I58" s="4" t="s">
        <v>51</v>
      </c>
      <c r="J58" s="4" t="s">
        <v>496</v>
      </c>
      <c r="K58" s="4">
        <v>75</v>
      </c>
      <c r="L58" s="4"/>
      <c r="M58" s="4" t="s">
        <v>803</v>
      </c>
      <c r="N58" s="4" t="s">
        <v>804</v>
      </c>
      <c r="O58" s="4" t="s">
        <v>805</v>
      </c>
      <c r="P58" s="4" t="s">
        <v>659</v>
      </c>
      <c r="Q58" s="4"/>
      <c r="R58" s="4"/>
      <c r="S58" s="4"/>
      <c r="T58" s="4"/>
      <c r="U58" s="5">
        <v>46289</v>
      </c>
      <c r="V58" s="4"/>
    </row>
    <row r="59" spans="1:22" x14ac:dyDescent="0.3">
      <c r="A59" s="4">
        <v>58</v>
      </c>
      <c r="B59" s="4">
        <v>0</v>
      </c>
      <c r="C59" s="4" t="s">
        <v>501</v>
      </c>
      <c r="D59" s="4" t="s">
        <v>806</v>
      </c>
      <c r="E59" s="4" t="s">
        <v>506</v>
      </c>
      <c r="F59" s="4" t="s">
        <v>807</v>
      </c>
      <c r="G59" s="4" t="s">
        <v>808</v>
      </c>
      <c r="H59" s="4" t="s">
        <v>546</v>
      </c>
      <c r="I59" s="4" t="s">
        <v>267</v>
      </c>
      <c r="J59" s="4" t="s">
        <v>496</v>
      </c>
      <c r="K59" s="4">
        <v>80</v>
      </c>
      <c r="L59" s="4"/>
      <c r="M59" s="4" t="s">
        <v>587</v>
      </c>
      <c r="N59" s="4" t="s">
        <v>540</v>
      </c>
      <c r="O59" s="4" t="s">
        <v>765</v>
      </c>
      <c r="P59" s="4" t="s">
        <v>659</v>
      </c>
      <c r="Q59" s="4"/>
      <c r="R59" s="4"/>
      <c r="S59" s="4"/>
      <c r="T59" s="4"/>
      <c r="U59" s="5">
        <v>46289</v>
      </c>
      <c r="V59" s="4"/>
    </row>
    <row r="60" spans="1:22" x14ac:dyDescent="0.3">
      <c r="A60" s="4">
        <v>59</v>
      </c>
      <c r="B60" s="4">
        <v>1</v>
      </c>
      <c r="C60" s="4" t="s">
        <v>78</v>
      </c>
      <c r="D60" s="4" t="s">
        <v>809</v>
      </c>
      <c r="E60" s="4" t="s">
        <v>505</v>
      </c>
      <c r="F60" s="4" t="s">
        <v>810</v>
      </c>
      <c r="G60" s="4" t="s">
        <v>811</v>
      </c>
      <c r="H60" s="4" t="s">
        <v>538</v>
      </c>
      <c r="I60" s="4" t="s">
        <v>26</v>
      </c>
      <c r="J60" s="4" t="s">
        <v>496</v>
      </c>
      <c r="K60" s="4">
        <v>40</v>
      </c>
      <c r="L60" s="4"/>
      <c r="M60" s="4" t="s">
        <v>812</v>
      </c>
      <c r="N60" s="4" t="s">
        <v>813</v>
      </c>
      <c r="O60" s="4" t="s">
        <v>814</v>
      </c>
      <c r="P60" s="4" t="s">
        <v>815</v>
      </c>
      <c r="Q60" s="4"/>
      <c r="R60" s="4"/>
      <c r="S60" s="4"/>
      <c r="T60" s="4"/>
      <c r="U60" s="5">
        <v>46289</v>
      </c>
      <c r="V60" s="4"/>
    </row>
    <row r="61" spans="1:22" x14ac:dyDescent="0.3">
      <c r="A61" s="4">
        <v>60</v>
      </c>
      <c r="B61" s="4">
        <v>1</v>
      </c>
      <c r="C61" s="4" t="s">
        <v>78</v>
      </c>
      <c r="D61" s="4" t="s">
        <v>816</v>
      </c>
      <c r="E61" s="4" t="s">
        <v>505</v>
      </c>
      <c r="F61" s="4" t="s">
        <v>817</v>
      </c>
      <c r="G61" s="4" t="s">
        <v>818</v>
      </c>
      <c r="H61" s="4" t="s">
        <v>538</v>
      </c>
      <c r="I61" s="4" t="s">
        <v>26</v>
      </c>
      <c r="J61" s="4" t="s">
        <v>496</v>
      </c>
      <c r="K61" s="4">
        <v>30</v>
      </c>
      <c r="L61" s="4" t="s">
        <v>535</v>
      </c>
      <c r="M61" s="4" t="s">
        <v>819</v>
      </c>
      <c r="N61" s="4" t="s">
        <v>820</v>
      </c>
      <c r="O61" s="4" t="s">
        <v>582</v>
      </c>
      <c r="P61" s="4" t="s">
        <v>821</v>
      </c>
      <c r="Q61" s="4"/>
      <c r="R61" s="4"/>
      <c r="S61" s="4"/>
      <c r="T61" s="4"/>
      <c r="U61" s="5">
        <v>46289</v>
      </c>
      <c r="V61" s="4"/>
    </row>
    <row r="62" spans="1:22" x14ac:dyDescent="0.3">
      <c r="A62" s="4">
        <v>61</v>
      </c>
      <c r="B62" s="4">
        <v>1</v>
      </c>
      <c r="C62" s="4" t="s">
        <v>78</v>
      </c>
      <c r="D62" s="4" t="s">
        <v>822</v>
      </c>
      <c r="E62" s="4" t="s">
        <v>504</v>
      </c>
      <c r="F62" s="4" t="s">
        <v>823</v>
      </c>
      <c r="G62" s="4" t="s">
        <v>824</v>
      </c>
      <c r="H62" s="4" t="s">
        <v>538</v>
      </c>
      <c r="I62" s="4" t="s">
        <v>26</v>
      </c>
      <c r="J62" s="4" t="s">
        <v>496</v>
      </c>
      <c r="K62" s="4">
        <v>65</v>
      </c>
      <c r="L62" s="4" t="s">
        <v>825</v>
      </c>
      <c r="M62" s="4" t="s">
        <v>826</v>
      </c>
      <c r="N62" s="4" t="s">
        <v>827</v>
      </c>
      <c r="O62" s="4" t="s">
        <v>582</v>
      </c>
      <c r="P62" s="4" t="s">
        <v>828</v>
      </c>
      <c r="Q62" s="4"/>
      <c r="R62" s="4"/>
      <c r="S62" s="4"/>
      <c r="T62" s="4"/>
      <c r="U62" s="5">
        <v>46289</v>
      </c>
      <c r="V62" s="4"/>
    </row>
    <row r="63" spans="1:22" ht="28.8" x14ac:dyDescent="0.3">
      <c r="A63" s="4">
        <v>62</v>
      </c>
      <c r="B63" s="4">
        <v>1</v>
      </c>
      <c r="C63" s="4" t="s">
        <v>78</v>
      </c>
      <c r="D63" s="4" t="s">
        <v>829</v>
      </c>
      <c r="E63" s="4" t="s">
        <v>504</v>
      </c>
      <c r="F63" s="4" t="s">
        <v>830</v>
      </c>
      <c r="G63" s="4" t="s">
        <v>831</v>
      </c>
      <c r="H63" s="4" t="s">
        <v>538</v>
      </c>
      <c r="I63" s="4" t="s">
        <v>26</v>
      </c>
      <c r="J63" s="4" t="s">
        <v>496</v>
      </c>
      <c r="K63" s="4">
        <v>55</v>
      </c>
      <c r="L63" s="4" t="s">
        <v>822</v>
      </c>
      <c r="M63" s="4" t="s">
        <v>832</v>
      </c>
      <c r="N63" s="4" t="s">
        <v>833</v>
      </c>
      <c r="O63" s="4" t="s">
        <v>582</v>
      </c>
      <c r="P63" s="4" t="s">
        <v>834</v>
      </c>
      <c r="Q63" s="4"/>
      <c r="R63" s="4"/>
      <c r="S63" s="4"/>
      <c r="T63" s="4"/>
      <c r="U63" s="5">
        <v>46289</v>
      </c>
      <c r="V63" s="4"/>
    </row>
    <row r="64" spans="1:22" ht="28.8" x14ac:dyDescent="0.3">
      <c r="A64" s="4">
        <v>63</v>
      </c>
      <c r="B64" s="4">
        <v>1</v>
      </c>
      <c r="C64" s="4" t="s">
        <v>78</v>
      </c>
      <c r="D64" s="4" t="s">
        <v>114</v>
      </c>
      <c r="E64" s="4" t="s">
        <v>113</v>
      </c>
      <c r="F64" s="4" t="s">
        <v>115</v>
      </c>
      <c r="G64" s="4" t="s">
        <v>835</v>
      </c>
      <c r="H64" s="4" t="s">
        <v>546</v>
      </c>
      <c r="I64" s="4" t="s">
        <v>26</v>
      </c>
      <c r="J64" s="4" t="s">
        <v>497</v>
      </c>
      <c r="K64" s="4">
        <v>50</v>
      </c>
      <c r="L64" s="4"/>
      <c r="M64" s="4" t="s">
        <v>836</v>
      </c>
      <c r="N64" s="4" t="s">
        <v>837</v>
      </c>
      <c r="O64" s="4" t="s">
        <v>631</v>
      </c>
      <c r="P64" s="4" t="s">
        <v>838</v>
      </c>
      <c r="Q64" s="4"/>
      <c r="R64" s="4"/>
      <c r="S64" s="4"/>
      <c r="T64" s="4"/>
      <c r="U64" s="5">
        <v>46289</v>
      </c>
      <c r="V64" s="4"/>
    </row>
    <row r="65" spans="1:22" x14ac:dyDescent="0.3">
      <c r="A65" s="4">
        <v>64</v>
      </c>
      <c r="B65" s="4">
        <v>1</v>
      </c>
      <c r="C65" s="4" t="s">
        <v>78</v>
      </c>
      <c r="D65" s="4" t="s">
        <v>117</v>
      </c>
      <c r="E65" s="4" t="s">
        <v>113</v>
      </c>
      <c r="F65" s="4" t="s">
        <v>118</v>
      </c>
      <c r="G65" s="4" t="s">
        <v>839</v>
      </c>
      <c r="H65" s="4" t="s">
        <v>546</v>
      </c>
      <c r="I65" s="4" t="s">
        <v>26</v>
      </c>
      <c r="J65" s="4" t="s">
        <v>499</v>
      </c>
      <c r="K65" s="4">
        <v>5</v>
      </c>
      <c r="L65" s="4" t="s">
        <v>114</v>
      </c>
      <c r="M65" s="4"/>
      <c r="N65" s="4" t="s">
        <v>840</v>
      </c>
      <c r="O65" s="4" t="s">
        <v>631</v>
      </c>
      <c r="P65" s="4" t="s">
        <v>841</v>
      </c>
      <c r="Q65" s="4"/>
      <c r="R65" s="4"/>
      <c r="S65" s="4"/>
      <c r="T65" s="4"/>
      <c r="U65" s="5">
        <v>46289</v>
      </c>
      <c r="V65" s="4"/>
    </row>
    <row r="66" spans="1:22" x14ac:dyDescent="0.3">
      <c r="A66" s="4">
        <v>65</v>
      </c>
      <c r="B66" s="4">
        <v>1</v>
      </c>
      <c r="C66" s="4" t="s">
        <v>78</v>
      </c>
      <c r="D66" s="4" t="s">
        <v>120</v>
      </c>
      <c r="E66" s="4" t="s">
        <v>113</v>
      </c>
      <c r="F66" s="4" t="s">
        <v>121</v>
      </c>
      <c r="G66" s="4" t="s">
        <v>842</v>
      </c>
      <c r="H66" s="4" t="s">
        <v>538</v>
      </c>
      <c r="I66" s="4" t="s">
        <v>26</v>
      </c>
      <c r="J66" s="4" t="s">
        <v>497</v>
      </c>
      <c r="K66" s="4">
        <v>30</v>
      </c>
      <c r="L66" s="4" t="s">
        <v>117</v>
      </c>
      <c r="M66" s="4" t="s">
        <v>843</v>
      </c>
      <c r="N66" s="4" t="s">
        <v>844</v>
      </c>
      <c r="O66" s="4" t="s">
        <v>845</v>
      </c>
      <c r="P66" s="4" t="s">
        <v>846</v>
      </c>
      <c r="Q66" s="4"/>
      <c r="R66" s="4"/>
      <c r="S66" s="4"/>
      <c r="T66" s="4"/>
      <c r="U66" s="5">
        <v>46289</v>
      </c>
      <c r="V66" s="4"/>
    </row>
    <row r="67" spans="1:22" x14ac:dyDescent="0.3">
      <c r="A67" s="4">
        <v>66</v>
      </c>
      <c r="B67" s="4">
        <v>1</v>
      </c>
      <c r="C67" s="4" t="s">
        <v>78</v>
      </c>
      <c r="D67" s="4" t="s">
        <v>847</v>
      </c>
      <c r="E67" s="4" t="s">
        <v>513</v>
      </c>
      <c r="F67" s="4" t="s">
        <v>848</v>
      </c>
      <c r="G67" s="4" t="s">
        <v>849</v>
      </c>
      <c r="H67" s="4" t="s">
        <v>538</v>
      </c>
      <c r="I67" s="4" t="s">
        <v>51</v>
      </c>
      <c r="J67" s="4" t="s">
        <v>497</v>
      </c>
      <c r="K67" s="4">
        <v>50</v>
      </c>
      <c r="L67" s="4" t="s">
        <v>120</v>
      </c>
      <c r="M67" s="4" t="s">
        <v>850</v>
      </c>
      <c r="N67" s="4" t="s">
        <v>851</v>
      </c>
      <c r="O67" s="4" t="s">
        <v>845</v>
      </c>
      <c r="P67" s="4" t="s">
        <v>852</v>
      </c>
      <c r="Q67" s="4"/>
      <c r="R67" s="4"/>
      <c r="S67" s="4"/>
      <c r="T67" s="4"/>
      <c r="U67" s="5">
        <v>46289</v>
      </c>
      <c r="V67" s="4"/>
    </row>
    <row r="68" spans="1:22" x14ac:dyDescent="0.3">
      <c r="A68" s="4">
        <v>67</v>
      </c>
      <c r="B68" s="4">
        <v>1</v>
      </c>
      <c r="C68" s="4" t="s">
        <v>78</v>
      </c>
      <c r="D68" s="4" t="s">
        <v>853</v>
      </c>
      <c r="E68" s="4" t="s">
        <v>508</v>
      </c>
      <c r="F68" s="4" t="s">
        <v>854</v>
      </c>
      <c r="G68" s="4" t="s">
        <v>855</v>
      </c>
      <c r="H68" s="4" t="s">
        <v>538</v>
      </c>
      <c r="I68" s="4" t="s">
        <v>51</v>
      </c>
      <c r="J68" s="4" t="s">
        <v>497</v>
      </c>
      <c r="K68" s="4">
        <v>40</v>
      </c>
      <c r="L68" s="4" t="s">
        <v>120</v>
      </c>
      <c r="M68" s="4" t="s">
        <v>856</v>
      </c>
      <c r="N68" s="4" t="s">
        <v>857</v>
      </c>
      <c r="O68" s="4" t="s">
        <v>845</v>
      </c>
      <c r="P68" s="4" t="s">
        <v>659</v>
      </c>
      <c r="Q68" s="4"/>
      <c r="R68" s="4"/>
      <c r="S68" s="4"/>
      <c r="T68" s="4"/>
      <c r="U68" s="5">
        <v>46289</v>
      </c>
      <c r="V68" s="4"/>
    </row>
    <row r="69" spans="1:22" x14ac:dyDescent="0.3">
      <c r="A69" s="4">
        <v>68</v>
      </c>
      <c r="B69" s="4">
        <v>1</v>
      </c>
      <c r="C69" s="4" t="s">
        <v>78</v>
      </c>
      <c r="D69" s="4" t="s">
        <v>858</v>
      </c>
      <c r="E69" s="4" t="s">
        <v>113</v>
      </c>
      <c r="F69" s="4" t="s">
        <v>859</v>
      </c>
      <c r="G69" s="4" t="s">
        <v>860</v>
      </c>
      <c r="H69" s="4" t="s">
        <v>546</v>
      </c>
      <c r="I69" s="4" t="s">
        <v>51</v>
      </c>
      <c r="J69" s="4" t="s">
        <v>499</v>
      </c>
      <c r="K69" s="4">
        <v>0</v>
      </c>
      <c r="L69" s="4"/>
      <c r="M69" s="4"/>
      <c r="N69" s="4" t="s">
        <v>861</v>
      </c>
      <c r="O69" s="4" t="s">
        <v>862</v>
      </c>
      <c r="P69" s="4" t="s">
        <v>838</v>
      </c>
      <c r="Q69" s="4"/>
      <c r="R69" s="4"/>
      <c r="S69" s="4"/>
      <c r="T69" s="4"/>
      <c r="U69" s="5">
        <v>46289</v>
      </c>
      <c r="V69" s="4"/>
    </row>
    <row r="70" spans="1:22" x14ac:dyDescent="0.3">
      <c r="A70" s="4">
        <v>69</v>
      </c>
      <c r="B70" s="4">
        <v>1</v>
      </c>
      <c r="C70" s="4" t="s">
        <v>78</v>
      </c>
      <c r="D70" s="4" t="s">
        <v>128</v>
      </c>
      <c r="E70" s="4" t="s">
        <v>127</v>
      </c>
      <c r="F70" s="4" t="s">
        <v>129</v>
      </c>
      <c r="G70" s="4" t="s">
        <v>863</v>
      </c>
      <c r="H70" s="4" t="s">
        <v>546</v>
      </c>
      <c r="I70" s="4" t="s">
        <v>51</v>
      </c>
      <c r="J70" s="4" t="s">
        <v>497</v>
      </c>
      <c r="K70" s="4">
        <v>30</v>
      </c>
      <c r="L70" s="4"/>
      <c r="M70" s="4" t="s">
        <v>864</v>
      </c>
      <c r="N70" s="4" t="s">
        <v>865</v>
      </c>
      <c r="O70" s="4" t="s">
        <v>866</v>
      </c>
      <c r="P70" s="4" t="s">
        <v>838</v>
      </c>
      <c r="Q70" s="4"/>
      <c r="R70" s="4"/>
      <c r="S70" s="4"/>
      <c r="T70" s="4"/>
      <c r="U70" s="5">
        <v>46289</v>
      </c>
      <c r="V70" s="4"/>
    </row>
    <row r="71" spans="1:22" x14ac:dyDescent="0.3">
      <c r="A71" s="4">
        <v>70</v>
      </c>
      <c r="B71" s="4">
        <v>1</v>
      </c>
      <c r="C71" s="4" t="s">
        <v>78</v>
      </c>
      <c r="D71" s="4" t="s">
        <v>124</v>
      </c>
      <c r="E71" s="4" t="s">
        <v>507</v>
      </c>
      <c r="F71" s="4" t="s">
        <v>125</v>
      </c>
      <c r="G71" s="4" t="s">
        <v>867</v>
      </c>
      <c r="H71" s="4" t="s">
        <v>538</v>
      </c>
      <c r="I71" s="4" t="s">
        <v>26</v>
      </c>
      <c r="J71" s="4" t="s">
        <v>497</v>
      </c>
      <c r="K71" s="4">
        <v>50</v>
      </c>
      <c r="L71" s="4" t="s">
        <v>117</v>
      </c>
      <c r="M71" s="4" t="s">
        <v>868</v>
      </c>
      <c r="N71" s="4" t="s">
        <v>869</v>
      </c>
      <c r="O71" s="4" t="s">
        <v>870</v>
      </c>
      <c r="P71" s="4" t="s">
        <v>838</v>
      </c>
      <c r="Q71" s="4"/>
      <c r="R71" s="4"/>
      <c r="S71" s="4"/>
      <c r="T71" s="4"/>
      <c r="U71" s="5">
        <v>46289</v>
      </c>
      <c r="V71" s="4"/>
    </row>
    <row r="72" spans="1:22" x14ac:dyDescent="0.3">
      <c r="A72" s="4">
        <v>71</v>
      </c>
      <c r="B72" s="4">
        <v>1</v>
      </c>
      <c r="C72" s="4" t="s">
        <v>78</v>
      </c>
      <c r="D72" s="4" t="s">
        <v>132</v>
      </c>
      <c r="E72" s="4" t="s">
        <v>506</v>
      </c>
      <c r="F72" s="4" t="s">
        <v>871</v>
      </c>
      <c r="G72" s="4" t="s">
        <v>872</v>
      </c>
      <c r="H72" s="4" t="s">
        <v>546</v>
      </c>
      <c r="I72" s="4" t="s">
        <v>51</v>
      </c>
      <c r="J72" s="4" t="s">
        <v>497</v>
      </c>
      <c r="K72" s="4">
        <v>50</v>
      </c>
      <c r="L72" s="4"/>
      <c r="M72" s="4" t="s">
        <v>873</v>
      </c>
      <c r="N72" s="4" t="s">
        <v>874</v>
      </c>
      <c r="O72" s="4" t="s">
        <v>875</v>
      </c>
      <c r="P72" s="4" t="s">
        <v>821</v>
      </c>
      <c r="Q72" s="4"/>
      <c r="R72" s="4"/>
      <c r="S72" s="4"/>
      <c r="T72" s="4"/>
      <c r="U72" s="5">
        <v>46289</v>
      </c>
      <c r="V72" s="4"/>
    </row>
    <row r="73" spans="1:22" x14ac:dyDescent="0.3">
      <c r="A73" s="4">
        <v>72</v>
      </c>
      <c r="B73" s="4">
        <v>1</v>
      </c>
      <c r="C73" s="4" t="s">
        <v>78</v>
      </c>
      <c r="D73" s="4" t="s">
        <v>876</v>
      </c>
      <c r="E73" s="4" t="s">
        <v>207</v>
      </c>
      <c r="F73" s="4" t="s">
        <v>877</v>
      </c>
      <c r="G73" s="4" t="s">
        <v>878</v>
      </c>
      <c r="H73" s="4" t="s">
        <v>538</v>
      </c>
      <c r="I73" s="4" t="s">
        <v>26</v>
      </c>
      <c r="J73" s="4" t="s">
        <v>496</v>
      </c>
      <c r="K73" s="4">
        <v>70</v>
      </c>
      <c r="L73" s="4"/>
      <c r="M73" s="4" t="s">
        <v>879</v>
      </c>
      <c r="N73" s="4" t="s">
        <v>880</v>
      </c>
      <c r="O73" s="4" t="s">
        <v>881</v>
      </c>
      <c r="P73" s="4" t="s">
        <v>882</v>
      </c>
      <c r="Q73" s="4"/>
      <c r="R73" s="4"/>
      <c r="S73" s="4"/>
      <c r="T73" s="4"/>
      <c r="U73" s="5">
        <v>46289</v>
      </c>
      <c r="V73" s="4"/>
    </row>
    <row r="74" spans="1:22" x14ac:dyDescent="0.3">
      <c r="A74" s="4">
        <v>73</v>
      </c>
      <c r="B74" s="4">
        <v>1</v>
      </c>
      <c r="C74" s="4" t="s">
        <v>78</v>
      </c>
      <c r="D74" s="4" t="s">
        <v>373</v>
      </c>
      <c r="E74" s="4" t="s">
        <v>506</v>
      </c>
      <c r="F74" s="4" t="s">
        <v>883</v>
      </c>
      <c r="G74" s="4" t="s">
        <v>884</v>
      </c>
      <c r="H74" s="4" t="s">
        <v>546</v>
      </c>
      <c r="I74" s="4" t="s">
        <v>26</v>
      </c>
      <c r="J74" s="4" t="s">
        <v>496</v>
      </c>
      <c r="K74" s="4">
        <v>70</v>
      </c>
      <c r="L74" s="4" t="s">
        <v>876</v>
      </c>
      <c r="M74" s="4" t="s">
        <v>885</v>
      </c>
      <c r="N74" s="4" t="s">
        <v>886</v>
      </c>
      <c r="O74" s="4" t="s">
        <v>887</v>
      </c>
      <c r="P74" s="4" t="s">
        <v>659</v>
      </c>
      <c r="Q74" s="4"/>
      <c r="R74" s="4"/>
      <c r="S74" s="4"/>
      <c r="T74" s="4"/>
      <c r="U74" s="5">
        <v>46289</v>
      </c>
      <c r="V74" s="4"/>
    </row>
    <row r="75" spans="1:22" ht="28.8" x14ac:dyDescent="0.3">
      <c r="A75" s="4">
        <v>74</v>
      </c>
      <c r="B75" s="4">
        <v>1</v>
      </c>
      <c r="C75" s="4" t="s">
        <v>78</v>
      </c>
      <c r="D75" s="4" t="s">
        <v>888</v>
      </c>
      <c r="E75" s="4" t="s">
        <v>505</v>
      </c>
      <c r="F75" s="4" t="s">
        <v>889</v>
      </c>
      <c r="G75" s="4" t="s">
        <v>890</v>
      </c>
      <c r="H75" s="4" t="s">
        <v>538</v>
      </c>
      <c r="I75" s="4" t="s">
        <v>26</v>
      </c>
      <c r="J75" s="4" t="s">
        <v>497</v>
      </c>
      <c r="K75" s="4">
        <v>30</v>
      </c>
      <c r="L75" s="4"/>
      <c r="M75" s="4" t="s">
        <v>891</v>
      </c>
      <c r="N75" s="4" t="s">
        <v>892</v>
      </c>
      <c r="O75" s="4" t="s">
        <v>893</v>
      </c>
      <c r="P75" s="4" t="s">
        <v>894</v>
      </c>
      <c r="Q75" s="4"/>
      <c r="R75" s="4"/>
      <c r="S75" s="4"/>
      <c r="T75" s="4"/>
      <c r="U75" s="5">
        <v>46289</v>
      </c>
      <c r="V75" s="4"/>
    </row>
    <row r="76" spans="1:22" x14ac:dyDescent="0.3">
      <c r="A76" s="4">
        <v>75</v>
      </c>
      <c r="B76" s="4">
        <v>1</v>
      </c>
      <c r="C76" s="4" t="s">
        <v>78</v>
      </c>
      <c r="D76" s="4" t="s">
        <v>79</v>
      </c>
      <c r="E76" s="4" t="s">
        <v>504</v>
      </c>
      <c r="F76" s="4" t="s">
        <v>80</v>
      </c>
      <c r="G76" s="4" t="s">
        <v>895</v>
      </c>
      <c r="H76" s="4" t="s">
        <v>538</v>
      </c>
      <c r="I76" s="4" t="s">
        <v>26</v>
      </c>
      <c r="J76" s="4" t="s">
        <v>497</v>
      </c>
      <c r="K76" s="4">
        <v>20</v>
      </c>
      <c r="L76" s="4" t="s">
        <v>888</v>
      </c>
      <c r="M76" s="4" t="s">
        <v>896</v>
      </c>
      <c r="N76" s="4" t="s">
        <v>897</v>
      </c>
      <c r="O76" s="4" t="s">
        <v>898</v>
      </c>
      <c r="P76" s="4" t="s">
        <v>659</v>
      </c>
      <c r="Q76" s="4"/>
      <c r="R76" s="4"/>
      <c r="S76" s="4"/>
      <c r="T76" s="4"/>
      <c r="U76" s="5">
        <v>46289</v>
      </c>
      <c r="V76" s="4"/>
    </row>
    <row r="77" spans="1:22" x14ac:dyDescent="0.3">
      <c r="A77" s="4">
        <v>76</v>
      </c>
      <c r="B77" s="4">
        <v>1</v>
      </c>
      <c r="C77" s="4" t="s">
        <v>78</v>
      </c>
      <c r="D77" s="4" t="s">
        <v>82</v>
      </c>
      <c r="E77" s="4" t="s">
        <v>504</v>
      </c>
      <c r="F77" s="4" t="s">
        <v>83</v>
      </c>
      <c r="G77" s="4" t="s">
        <v>899</v>
      </c>
      <c r="H77" s="4" t="s">
        <v>538</v>
      </c>
      <c r="I77" s="4" t="s">
        <v>26</v>
      </c>
      <c r="J77" s="4" t="s">
        <v>497</v>
      </c>
      <c r="K77" s="4">
        <v>30</v>
      </c>
      <c r="L77" s="4" t="s">
        <v>79</v>
      </c>
      <c r="M77" s="4"/>
      <c r="N77" s="4" t="s">
        <v>900</v>
      </c>
      <c r="O77" s="4" t="s">
        <v>582</v>
      </c>
      <c r="P77" s="4" t="s">
        <v>901</v>
      </c>
      <c r="Q77" s="4"/>
      <c r="R77" s="4"/>
      <c r="S77" s="4"/>
      <c r="T77" s="4"/>
      <c r="U77" s="5">
        <v>46289</v>
      </c>
      <c r="V77" s="4"/>
    </row>
    <row r="78" spans="1:22" x14ac:dyDescent="0.3">
      <c r="A78" s="4">
        <v>77</v>
      </c>
      <c r="B78" s="4">
        <v>1</v>
      </c>
      <c r="C78" s="4" t="s">
        <v>78</v>
      </c>
      <c r="D78" s="4" t="s">
        <v>902</v>
      </c>
      <c r="E78" s="4" t="s">
        <v>504</v>
      </c>
      <c r="F78" s="4" t="s">
        <v>903</v>
      </c>
      <c r="G78" s="4" t="s">
        <v>904</v>
      </c>
      <c r="H78" s="4" t="s">
        <v>538</v>
      </c>
      <c r="I78" s="4" t="s">
        <v>51</v>
      </c>
      <c r="J78" s="4" t="s">
        <v>496</v>
      </c>
      <c r="K78" s="4">
        <v>75</v>
      </c>
      <c r="L78" s="4" t="s">
        <v>888</v>
      </c>
      <c r="M78" s="4" t="s">
        <v>905</v>
      </c>
      <c r="N78" s="4" t="s">
        <v>906</v>
      </c>
      <c r="O78" s="4" t="s">
        <v>582</v>
      </c>
      <c r="P78" s="4" t="s">
        <v>907</v>
      </c>
      <c r="Q78" s="4"/>
      <c r="R78" s="4"/>
      <c r="S78" s="4"/>
      <c r="T78" s="4"/>
      <c r="U78" s="5">
        <v>46289</v>
      </c>
      <c r="V78" s="4"/>
    </row>
    <row r="79" spans="1:22" x14ac:dyDescent="0.3">
      <c r="A79" s="4">
        <v>78</v>
      </c>
      <c r="B79" s="4">
        <v>1</v>
      </c>
      <c r="C79" s="4" t="s">
        <v>78</v>
      </c>
      <c r="D79" s="4" t="s">
        <v>908</v>
      </c>
      <c r="E79" s="4" t="s">
        <v>504</v>
      </c>
      <c r="F79" s="4" t="s">
        <v>909</v>
      </c>
      <c r="G79" s="4" t="s">
        <v>910</v>
      </c>
      <c r="H79" s="4" t="s">
        <v>538</v>
      </c>
      <c r="I79" s="4" t="s">
        <v>51</v>
      </c>
      <c r="J79" s="4" t="s">
        <v>496</v>
      </c>
      <c r="K79" s="4">
        <v>80</v>
      </c>
      <c r="L79" s="4" t="s">
        <v>888</v>
      </c>
      <c r="M79" s="4" t="s">
        <v>911</v>
      </c>
      <c r="N79" s="4" t="s">
        <v>912</v>
      </c>
      <c r="O79" s="4" t="s">
        <v>582</v>
      </c>
      <c r="P79" s="4" t="s">
        <v>913</v>
      </c>
      <c r="Q79" s="4"/>
      <c r="R79" s="4"/>
      <c r="S79" s="4"/>
      <c r="T79" s="4"/>
      <c r="U79" s="5">
        <v>46289</v>
      </c>
      <c r="V79" s="4"/>
    </row>
    <row r="80" spans="1:22" x14ac:dyDescent="0.3">
      <c r="A80" s="4">
        <v>79</v>
      </c>
      <c r="B80" s="4">
        <v>1</v>
      </c>
      <c r="C80" s="4" t="s">
        <v>78</v>
      </c>
      <c r="D80" s="4" t="s">
        <v>86</v>
      </c>
      <c r="E80" s="4" t="s">
        <v>85</v>
      </c>
      <c r="F80" s="4" t="s">
        <v>87</v>
      </c>
      <c r="G80" s="4" t="s">
        <v>914</v>
      </c>
      <c r="H80" s="4" t="s">
        <v>538</v>
      </c>
      <c r="I80" s="4" t="s">
        <v>26</v>
      </c>
      <c r="J80" s="4" t="s">
        <v>497</v>
      </c>
      <c r="K80" s="4">
        <v>60</v>
      </c>
      <c r="L80" s="4"/>
      <c r="M80" s="4" t="s">
        <v>915</v>
      </c>
      <c r="N80" s="4" t="s">
        <v>916</v>
      </c>
      <c r="O80" s="4" t="s">
        <v>917</v>
      </c>
      <c r="P80" s="4" t="s">
        <v>659</v>
      </c>
      <c r="Q80" s="4"/>
      <c r="R80" s="4"/>
      <c r="S80" s="4"/>
      <c r="T80" s="4"/>
      <c r="U80" s="5">
        <v>46289</v>
      </c>
      <c r="V80" s="4"/>
    </row>
    <row r="81" spans="1:22" x14ac:dyDescent="0.3">
      <c r="A81" s="4">
        <v>80</v>
      </c>
      <c r="B81" s="4">
        <v>1</v>
      </c>
      <c r="C81" s="4" t="s">
        <v>78</v>
      </c>
      <c r="D81" s="4" t="s">
        <v>96</v>
      </c>
      <c r="E81" s="4" t="s">
        <v>503</v>
      </c>
      <c r="F81" s="4" t="s">
        <v>918</v>
      </c>
      <c r="G81" s="4" t="s">
        <v>919</v>
      </c>
      <c r="H81" s="4" t="s">
        <v>538</v>
      </c>
      <c r="I81" s="4" t="s">
        <v>26</v>
      </c>
      <c r="J81" s="4" t="s">
        <v>497</v>
      </c>
      <c r="K81" s="4">
        <v>50</v>
      </c>
      <c r="L81" s="4" t="s">
        <v>86</v>
      </c>
      <c r="M81" s="4" t="s">
        <v>920</v>
      </c>
      <c r="N81" s="4" t="s">
        <v>921</v>
      </c>
      <c r="O81" s="4" t="s">
        <v>631</v>
      </c>
      <c r="P81" s="4" t="s">
        <v>659</v>
      </c>
      <c r="Q81" s="4"/>
      <c r="R81" s="4"/>
      <c r="S81" s="4"/>
      <c r="T81" s="4"/>
      <c r="U81" s="5">
        <v>46289</v>
      </c>
      <c r="V81" s="4"/>
    </row>
    <row r="82" spans="1:22" x14ac:dyDescent="0.3">
      <c r="A82" s="4">
        <v>81</v>
      </c>
      <c r="B82" s="4">
        <v>1</v>
      </c>
      <c r="C82" s="4" t="s">
        <v>78</v>
      </c>
      <c r="D82" s="4" t="s">
        <v>89</v>
      </c>
      <c r="E82" s="4" t="s">
        <v>85</v>
      </c>
      <c r="F82" s="4" t="s">
        <v>922</v>
      </c>
      <c r="G82" s="4" t="s">
        <v>923</v>
      </c>
      <c r="H82" s="4" t="s">
        <v>538</v>
      </c>
      <c r="I82" s="4" t="s">
        <v>26</v>
      </c>
      <c r="J82" s="4" t="s">
        <v>497</v>
      </c>
      <c r="K82" s="4">
        <v>60</v>
      </c>
      <c r="L82" s="4" t="s">
        <v>86</v>
      </c>
      <c r="M82" s="4" t="s">
        <v>924</v>
      </c>
      <c r="N82" s="4" t="s">
        <v>925</v>
      </c>
      <c r="O82" s="4" t="s">
        <v>926</v>
      </c>
      <c r="P82" s="4" t="s">
        <v>927</v>
      </c>
      <c r="Q82" s="4"/>
      <c r="R82" s="4"/>
      <c r="S82" s="4"/>
      <c r="T82" s="4"/>
      <c r="U82" s="5">
        <v>46289</v>
      </c>
      <c r="V82" s="4"/>
    </row>
    <row r="83" spans="1:22" x14ac:dyDescent="0.3">
      <c r="A83" s="4">
        <v>82</v>
      </c>
      <c r="B83" s="4">
        <v>1</v>
      </c>
      <c r="C83" s="4" t="s">
        <v>78</v>
      </c>
      <c r="D83" s="4" t="s">
        <v>92</v>
      </c>
      <c r="E83" s="4" t="s">
        <v>85</v>
      </c>
      <c r="F83" s="4" t="s">
        <v>928</v>
      </c>
      <c r="G83" s="4" t="s">
        <v>929</v>
      </c>
      <c r="H83" s="4" t="s">
        <v>546</v>
      </c>
      <c r="I83" s="4" t="s">
        <v>26</v>
      </c>
      <c r="J83" s="4" t="s">
        <v>499</v>
      </c>
      <c r="K83" s="4">
        <v>0</v>
      </c>
      <c r="L83" s="4" t="s">
        <v>89</v>
      </c>
      <c r="M83" s="4" t="s">
        <v>930</v>
      </c>
      <c r="N83" s="4" t="s">
        <v>931</v>
      </c>
      <c r="O83" s="4" t="s">
        <v>711</v>
      </c>
      <c r="P83" s="4" t="s">
        <v>932</v>
      </c>
      <c r="Q83" s="4"/>
      <c r="R83" s="4"/>
      <c r="S83" s="4"/>
      <c r="T83" s="4"/>
      <c r="U83" s="5">
        <v>46289</v>
      </c>
      <c r="V83" s="4"/>
    </row>
    <row r="84" spans="1:22" x14ac:dyDescent="0.3">
      <c r="A84" s="4">
        <v>83</v>
      </c>
      <c r="B84" s="4">
        <v>1</v>
      </c>
      <c r="C84" s="4" t="s">
        <v>78</v>
      </c>
      <c r="D84" s="4" t="s">
        <v>100</v>
      </c>
      <c r="E84" s="4" t="s">
        <v>508</v>
      </c>
      <c r="F84" s="4" t="s">
        <v>933</v>
      </c>
      <c r="G84" s="4" t="s">
        <v>934</v>
      </c>
      <c r="H84" s="4" t="s">
        <v>538</v>
      </c>
      <c r="I84" s="4" t="s">
        <v>26</v>
      </c>
      <c r="J84" s="4" t="s">
        <v>497</v>
      </c>
      <c r="K84" s="4">
        <v>25</v>
      </c>
      <c r="L84" s="4"/>
      <c r="M84" s="4" t="s">
        <v>935</v>
      </c>
      <c r="N84" s="4" t="s">
        <v>936</v>
      </c>
      <c r="O84" s="4" t="s">
        <v>937</v>
      </c>
      <c r="P84" s="4" t="s">
        <v>938</v>
      </c>
      <c r="Q84" s="4"/>
      <c r="R84" s="4"/>
      <c r="S84" s="4"/>
      <c r="T84" s="4"/>
      <c r="U84" s="5">
        <v>46289</v>
      </c>
      <c r="V84" s="4"/>
    </row>
    <row r="85" spans="1:22" x14ac:dyDescent="0.3">
      <c r="A85" s="4">
        <v>84</v>
      </c>
      <c r="B85" s="4">
        <v>1</v>
      </c>
      <c r="C85" s="4" t="s">
        <v>78</v>
      </c>
      <c r="D85" s="4" t="s">
        <v>103</v>
      </c>
      <c r="E85" s="4" t="s">
        <v>508</v>
      </c>
      <c r="F85" s="4" t="s">
        <v>104</v>
      </c>
      <c r="G85" s="4" t="s">
        <v>939</v>
      </c>
      <c r="H85" s="4" t="s">
        <v>668</v>
      </c>
      <c r="I85" s="4" t="s">
        <v>26</v>
      </c>
      <c r="J85" s="4" t="s">
        <v>499</v>
      </c>
      <c r="K85" s="4">
        <v>0</v>
      </c>
      <c r="L85" s="4" t="s">
        <v>92</v>
      </c>
      <c r="M85" s="4" t="s">
        <v>940</v>
      </c>
      <c r="N85" s="4" t="s">
        <v>941</v>
      </c>
      <c r="O85" s="4" t="s">
        <v>671</v>
      </c>
      <c r="P85" s="4" t="s">
        <v>659</v>
      </c>
      <c r="Q85" s="4"/>
      <c r="R85" s="4"/>
      <c r="S85" s="4"/>
      <c r="T85" s="4"/>
      <c r="U85" s="5">
        <v>46289</v>
      </c>
      <c r="V85" s="4"/>
    </row>
    <row r="86" spans="1:22" x14ac:dyDescent="0.3">
      <c r="A86" s="4">
        <v>85</v>
      </c>
      <c r="B86" s="4">
        <v>1</v>
      </c>
      <c r="C86" s="4" t="s">
        <v>78</v>
      </c>
      <c r="D86" s="4" t="s">
        <v>106</v>
      </c>
      <c r="E86" s="4" t="s">
        <v>508</v>
      </c>
      <c r="F86" s="4" t="s">
        <v>107</v>
      </c>
      <c r="G86" s="4" t="s">
        <v>942</v>
      </c>
      <c r="H86" s="4" t="s">
        <v>668</v>
      </c>
      <c r="I86" s="4" t="s">
        <v>26</v>
      </c>
      <c r="J86" s="4" t="s">
        <v>499</v>
      </c>
      <c r="K86" s="4">
        <v>0</v>
      </c>
      <c r="L86" s="4" t="s">
        <v>92</v>
      </c>
      <c r="M86" s="4"/>
      <c r="N86" s="4" t="s">
        <v>943</v>
      </c>
      <c r="O86" s="4" t="s">
        <v>671</v>
      </c>
      <c r="P86" s="4" t="s">
        <v>659</v>
      </c>
      <c r="Q86" s="4"/>
      <c r="R86" s="4"/>
      <c r="S86" s="4"/>
      <c r="T86" s="4"/>
      <c r="U86" s="5">
        <v>46289</v>
      </c>
      <c r="V86" s="4"/>
    </row>
    <row r="87" spans="1:22" x14ac:dyDescent="0.3">
      <c r="A87" s="4">
        <v>86</v>
      </c>
      <c r="B87" s="4">
        <v>1</v>
      </c>
      <c r="C87" s="4" t="s">
        <v>78</v>
      </c>
      <c r="D87" s="4" t="s">
        <v>944</v>
      </c>
      <c r="E87" s="4" t="s">
        <v>127</v>
      </c>
      <c r="F87" s="4" t="s">
        <v>945</v>
      </c>
      <c r="G87" s="4" t="s">
        <v>946</v>
      </c>
      <c r="H87" s="4" t="s">
        <v>538</v>
      </c>
      <c r="I87" s="4" t="s">
        <v>51</v>
      </c>
      <c r="J87" s="4" t="s">
        <v>497</v>
      </c>
      <c r="K87" s="4">
        <v>40</v>
      </c>
      <c r="L87" s="4"/>
      <c r="M87" s="4" t="s">
        <v>947</v>
      </c>
      <c r="N87" s="4" t="s">
        <v>948</v>
      </c>
      <c r="O87" s="4" t="s">
        <v>949</v>
      </c>
      <c r="P87" s="4" t="s">
        <v>950</v>
      </c>
      <c r="Q87" s="4"/>
      <c r="R87" s="4"/>
      <c r="S87" s="4"/>
      <c r="T87" s="4"/>
      <c r="U87" s="5">
        <v>46289</v>
      </c>
      <c r="V87" s="4"/>
    </row>
    <row r="88" spans="1:22" x14ac:dyDescent="0.3">
      <c r="A88" s="4">
        <v>87</v>
      </c>
      <c r="B88" s="4">
        <v>1</v>
      </c>
      <c r="C88" s="4" t="s">
        <v>78</v>
      </c>
      <c r="D88" s="4" t="s">
        <v>951</v>
      </c>
      <c r="E88" s="4" t="s">
        <v>505</v>
      </c>
      <c r="F88" s="4" t="s">
        <v>952</v>
      </c>
      <c r="G88" s="4" t="s">
        <v>953</v>
      </c>
      <c r="H88" s="4" t="s">
        <v>546</v>
      </c>
      <c r="I88" s="4" t="s">
        <v>267</v>
      </c>
      <c r="J88" s="4" t="s">
        <v>496</v>
      </c>
      <c r="K88" s="4">
        <v>85</v>
      </c>
      <c r="L88" s="4"/>
      <c r="M88" s="4" t="s">
        <v>954</v>
      </c>
      <c r="N88" s="4" t="s">
        <v>955</v>
      </c>
      <c r="O88" s="4" t="s">
        <v>956</v>
      </c>
      <c r="P88" s="4" t="s">
        <v>957</v>
      </c>
      <c r="Q88" s="4"/>
      <c r="R88" s="4"/>
      <c r="S88" s="4"/>
      <c r="T88" s="4"/>
      <c r="U88" s="5">
        <v>46289</v>
      </c>
      <c r="V88" s="4"/>
    </row>
    <row r="89" spans="1:22" ht="28.8" x14ac:dyDescent="0.3">
      <c r="A89" s="4">
        <v>88</v>
      </c>
      <c r="B89" s="4">
        <v>1</v>
      </c>
      <c r="C89" s="4" t="s">
        <v>78</v>
      </c>
      <c r="D89" s="4" t="s">
        <v>958</v>
      </c>
      <c r="E89" s="4" t="s">
        <v>511</v>
      </c>
      <c r="F89" s="4" t="s">
        <v>959</v>
      </c>
      <c r="G89" s="4" t="s">
        <v>960</v>
      </c>
      <c r="H89" s="4" t="s">
        <v>538</v>
      </c>
      <c r="I89" s="4" t="s">
        <v>51</v>
      </c>
      <c r="J89" s="4" t="s">
        <v>498</v>
      </c>
      <c r="K89" s="4">
        <v>30</v>
      </c>
      <c r="L89" s="4"/>
      <c r="M89" s="4" t="s">
        <v>961</v>
      </c>
      <c r="N89" s="4" t="s">
        <v>962</v>
      </c>
      <c r="O89" s="4" t="s">
        <v>582</v>
      </c>
      <c r="P89" s="4" t="s">
        <v>659</v>
      </c>
      <c r="Q89" s="4"/>
      <c r="R89" s="4"/>
      <c r="S89" s="4"/>
      <c r="T89" s="4"/>
      <c r="U89" s="5">
        <v>46289</v>
      </c>
      <c r="V89" s="4"/>
    </row>
    <row r="90" spans="1:22" x14ac:dyDescent="0.3">
      <c r="A90" s="4">
        <v>89</v>
      </c>
      <c r="B90" s="4">
        <v>1</v>
      </c>
      <c r="C90" s="4" t="s">
        <v>78</v>
      </c>
      <c r="D90" s="4" t="s">
        <v>110</v>
      </c>
      <c r="E90" s="4" t="s">
        <v>505</v>
      </c>
      <c r="F90" s="4" t="s">
        <v>963</v>
      </c>
      <c r="G90" s="4" t="s">
        <v>964</v>
      </c>
      <c r="H90" s="4" t="s">
        <v>668</v>
      </c>
      <c r="I90" s="4" t="s">
        <v>51</v>
      </c>
      <c r="J90" s="4" t="s">
        <v>497</v>
      </c>
      <c r="K90" s="4">
        <v>35</v>
      </c>
      <c r="L90" s="4" t="s">
        <v>114</v>
      </c>
      <c r="M90" s="4" t="s">
        <v>965</v>
      </c>
      <c r="N90" s="4" t="s">
        <v>966</v>
      </c>
      <c r="O90" s="4" t="s">
        <v>631</v>
      </c>
      <c r="P90" s="4" t="s">
        <v>967</v>
      </c>
      <c r="Q90" s="4"/>
      <c r="R90" s="4"/>
      <c r="S90" s="4"/>
      <c r="T90" s="4"/>
      <c r="U90" s="5">
        <v>46289</v>
      </c>
      <c r="V90" s="4"/>
    </row>
    <row r="91" spans="1:22" x14ac:dyDescent="0.3">
      <c r="A91" s="4">
        <v>90</v>
      </c>
      <c r="B91" s="4">
        <v>2</v>
      </c>
      <c r="C91" s="4" t="s">
        <v>509</v>
      </c>
      <c r="D91" s="4" t="s">
        <v>968</v>
      </c>
      <c r="E91" s="4" t="s">
        <v>127</v>
      </c>
      <c r="F91" s="4" t="s">
        <v>969</v>
      </c>
      <c r="G91" s="4" t="s">
        <v>970</v>
      </c>
      <c r="H91" s="4" t="s">
        <v>546</v>
      </c>
      <c r="I91" s="4" t="s">
        <v>26</v>
      </c>
      <c r="J91" s="4" t="s">
        <v>497</v>
      </c>
      <c r="K91" s="4">
        <v>20</v>
      </c>
      <c r="L91" s="4"/>
      <c r="M91" s="4" t="s">
        <v>971</v>
      </c>
      <c r="N91" s="4" t="s">
        <v>972</v>
      </c>
      <c r="O91" s="4" t="s">
        <v>625</v>
      </c>
      <c r="P91" s="4" t="s">
        <v>659</v>
      </c>
      <c r="Q91" s="4"/>
      <c r="R91" s="4"/>
      <c r="S91" s="4"/>
      <c r="T91" s="4"/>
      <c r="U91" s="5">
        <v>46289</v>
      </c>
      <c r="V91" s="4"/>
    </row>
    <row r="92" spans="1:22" ht="28.8" x14ac:dyDescent="0.3">
      <c r="A92" s="4">
        <v>91</v>
      </c>
      <c r="B92" s="4">
        <v>2</v>
      </c>
      <c r="C92" s="4" t="s">
        <v>509</v>
      </c>
      <c r="D92" s="4" t="s">
        <v>973</v>
      </c>
      <c r="E92" s="4" t="s">
        <v>505</v>
      </c>
      <c r="F92" s="4" t="s">
        <v>974</v>
      </c>
      <c r="G92" s="4" t="s">
        <v>975</v>
      </c>
      <c r="H92" s="4" t="s">
        <v>538</v>
      </c>
      <c r="I92" s="4" t="s">
        <v>51</v>
      </c>
      <c r="J92" s="4" t="s">
        <v>497</v>
      </c>
      <c r="K92" s="4">
        <v>60</v>
      </c>
      <c r="L92" s="4"/>
      <c r="M92" s="4" t="s">
        <v>976</v>
      </c>
      <c r="N92" s="4" t="s">
        <v>977</v>
      </c>
      <c r="O92" s="4" t="s">
        <v>978</v>
      </c>
      <c r="P92" s="4" t="s">
        <v>979</v>
      </c>
      <c r="Q92" s="4"/>
      <c r="R92" s="4"/>
      <c r="S92" s="4"/>
      <c r="T92" s="4"/>
      <c r="U92" s="5">
        <v>46289</v>
      </c>
      <c r="V92" s="4"/>
    </row>
    <row r="93" spans="1:22" x14ac:dyDescent="0.3">
      <c r="A93" s="4">
        <v>92</v>
      </c>
      <c r="B93" s="4">
        <v>2</v>
      </c>
      <c r="C93" s="4" t="s">
        <v>509</v>
      </c>
      <c r="D93" s="4" t="s">
        <v>980</v>
      </c>
      <c r="E93" s="4" t="s">
        <v>505</v>
      </c>
      <c r="F93" s="4" t="s">
        <v>981</v>
      </c>
      <c r="G93" s="4" t="s">
        <v>982</v>
      </c>
      <c r="H93" s="4" t="s">
        <v>538</v>
      </c>
      <c r="I93" s="4" t="s">
        <v>26</v>
      </c>
      <c r="J93" s="4" t="s">
        <v>497</v>
      </c>
      <c r="K93" s="4">
        <v>20</v>
      </c>
      <c r="L93" s="4" t="s">
        <v>968</v>
      </c>
      <c r="M93" s="4" t="s">
        <v>983</v>
      </c>
      <c r="N93" s="4" t="s">
        <v>984</v>
      </c>
      <c r="O93" s="4" t="s">
        <v>985</v>
      </c>
      <c r="P93" s="4" t="s">
        <v>659</v>
      </c>
      <c r="Q93" s="4"/>
      <c r="R93" s="4"/>
      <c r="S93" s="4"/>
      <c r="T93" s="4"/>
      <c r="U93" s="5">
        <v>46289</v>
      </c>
      <c r="V93" s="4"/>
    </row>
    <row r="94" spans="1:22" x14ac:dyDescent="0.3">
      <c r="A94" s="4">
        <v>93</v>
      </c>
      <c r="B94" s="4">
        <v>2</v>
      </c>
      <c r="C94" s="4" t="s">
        <v>509</v>
      </c>
      <c r="D94" s="4" t="s">
        <v>986</v>
      </c>
      <c r="E94" s="4" t="s">
        <v>511</v>
      </c>
      <c r="F94" s="4" t="s">
        <v>987</v>
      </c>
      <c r="G94" s="4" t="s">
        <v>988</v>
      </c>
      <c r="H94" s="4" t="s">
        <v>538</v>
      </c>
      <c r="I94" s="4" t="s">
        <v>51</v>
      </c>
      <c r="J94" s="4" t="s">
        <v>499</v>
      </c>
      <c r="K94" s="4">
        <v>5</v>
      </c>
      <c r="L94" s="4" t="s">
        <v>980</v>
      </c>
      <c r="M94" s="4" t="s">
        <v>989</v>
      </c>
      <c r="N94" s="4" t="s">
        <v>990</v>
      </c>
      <c r="O94" s="4" t="s">
        <v>560</v>
      </c>
      <c r="P94" s="4" t="s">
        <v>991</v>
      </c>
      <c r="Q94" s="4"/>
      <c r="R94" s="4"/>
      <c r="S94" s="4"/>
      <c r="T94" s="4"/>
      <c r="U94" s="5">
        <v>46289</v>
      </c>
      <c r="V94" s="4"/>
    </row>
    <row r="95" spans="1:22" x14ac:dyDescent="0.3">
      <c r="A95" s="4">
        <v>94</v>
      </c>
      <c r="B95" s="4">
        <v>2</v>
      </c>
      <c r="C95" s="4" t="s">
        <v>509</v>
      </c>
      <c r="D95" s="4" t="s">
        <v>992</v>
      </c>
      <c r="E95" s="4" t="s">
        <v>504</v>
      </c>
      <c r="F95" s="4" t="s">
        <v>993</v>
      </c>
      <c r="G95" s="4" t="s">
        <v>994</v>
      </c>
      <c r="H95" s="4" t="s">
        <v>538</v>
      </c>
      <c r="I95" s="4" t="s">
        <v>51</v>
      </c>
      <c r="J95" s="4" t="s">
        <v>496</v>
      </c>
      <c r="K95" s="4">
        <v>75</v>
      </c>
      <c r="L95" s="4" t="s">
        <v>986</v>
      </c>
      <c r="M95" s="4" t="s">
        <v>995</v>
      </c>
      <c r="N95" s="4" t="s">
        <v>996</v>
      </c>
      <c r="O95" s="4" t="s">
        <v>560</v>
      </c>
      <c r="P95" s="4" t="s">
        <v>997</v>
      </c>
      <c r="Q95" s="4"/>
      <c r="R95" s="4"/>
      <c r="S95" s="4"/>
      <c r="T95" s="4"/>
      <c r="U95" s="5">
        <v>46289</v>
      </c>
      <c r="V95" s="4"/>
    </row>
    <row r="96" spans="1:22" x14ac:dyDescent="0.3">
      <c r="A96" s="4">
        <v>95</v>
      </c>
      <c r="B96" s="4">
        <v>2</v>
      </c>
      <c r="C96" s="4" t="s">
        <v>509</v>
      </c>
      <c r="D96" s="4" t="s">
        <v>998</v>
      </c>
      <c r="E96" s="4" t="s">
        <v>511</v>
      </c>
      <c r="F96" s="4" t="s">
        <v>999</v>
      </c>
      <c r="G96" s="4" t="s">
        <v>1000</v>
      </c>
      <c r="H96" s="4" t="s">
        <v>538</v>
      </c>
      <c r="I96" s="4" t="s">
        <v>51</v>
      </c>
      <c r="J96" s="4" t="s">
        <v>499</v>
      </c>
      <c r="K96" s="4">
        <v>0</v>
      </c>
      <c r="L96" s="4" t="s">
        <v>980</v>
      </c>
      <c r="M96" s="4"/>
      <c r="N96" s="4" t="s">
        <v>1001</v>
      </c>
      <c r="O96" s="4" t="s">
        <v>560</v>
      </c>
      <c r="P96" s="4" t="s">
        <v>659</v>
      </c>
      <c r="Q96" s="4"/>
      <c r="R96" s="4"/>
      <c r="S96" s="4"/>
      <c r="T96" s="4"/>
      <c r="U96" s="5">
        <v>46289</v>
      </c>
      <c r="V96" s="4"/>
    </row>
    <row r="97" spans="1:22" x14ac:dyDescent="0.3">
      <c r="A97" s="4">
        <v>96</v>
      </c>
      <c r="B97" s="4">
        <v>2</v>
      </c>
      <c r="C97" s="4" t="s">
        <v>509</v>
      </c>
      <c r="D97" s="4" t="s">
        <v>1002</v>
      </c>
      <c r="E97" s="4" t="s">
        <v>511</v>
      </c>
      <c r="F97" s="4" t="s">
        <v>1003</v>
      </c>
      <c r="G97" s="4" t="s">
        <v>1004</v>
      </c>
      <c r="H97" s="4" t="s">
        <v>538</v>
      </c>
      <c r="I97" s="4" t="s">
        <v>267</v>
      </c>
      <c r="J97" s="4" t="s">
        <v>499</v>
      </c>
      <c r="K97" s="4">
        <v>5</v>
      </c>
      <c r="L97" s="4" t="s">
        <v>980</v>
      </c>
      <c r="M97" s="4" t="s">
        <v>1005</v>
      </c>
      <c r="N97" s="4" t="s">
        <v>1006</v>
      </c>
      <c r="O97" s="4" t="s">
        <v>560</v>
      </c>
      <c r="P97" s="4" t="s">
        <v>659</v>
      </c>
      <c r="Q97" s="4"/>
      <c r="R97" s="4"/>
      <c r="S97" s="4"/>
      <c r="T97" s="4"/>
      <c r="U97" s="5">
        <v>46289</v>
      </c>
      <c r="V97" s="4"/>
    </row>
    <row r="98" spans="1:22" x14ac:dyDescent="0.3">
      <c r="A98" s="4">
        <v>97</v>
      </c>
      <c r="B98" s="4">
        <v>2</v>
      </c>
      <c r="C98" s="4" t="s">
        <v>509</v>
      </c>
      <c r="D98" s="4" t="s">
        <v>1007</v>
      </c>
      <c r="E98" s="4" t="s">
        <v>511</v>
      </c>
      <c r="F98" s="4" t="s">
        <v>1008</v>
      </c>
      <c r="G98" s="4" t="s">
        <v>1009</v>
      </c>
      <c r="H98" s="4" t="s">
        <v>668</v>
      </c>
      <c r="I98" s="4" t="s">
        <v>26</v>
      </c>
      <c r="J98" s="4" t="s">
        <v>497</v>
      </c>
      <c r="K98" s="4">
        <v>30</v>
      </c>
      <c r="L98" s="4"/>
      <c r="M98" s="4" t="s">
        <v>1010</v>
      </c>
      <c r="N98" s="4" t="s">
        <v>1011</v>
      </c>
      <c r="O98" s="4" t="s">
        <v>560</v>
      </c>
      <c r="P98" s="4" t="s">
        <v>1012</v>
      </c>
      <c r="Q98" s="4"/>
      <c r="R98" s="4"/>
      <c r="S98" s="4"/>
      <c r="T98" s="4"/>
      <c r="U98" s="5">
        <v>46289</v>
      </c>
      <c r="V98" s="4"/>
    </row>
    <row r="99" spans="1:22" x14ac:dyDescent="0.3">
      <c r="A99" s="4">
        <v>98</v>
      </c>
      <c r="B99" s="4">
        <v>2</v>
      </c>
      <c r="C99" s="4" t="s">
        <v>509</v>
      </c>
      <c r="D99" s="4" t="s">
        <v>1013</v>
      </c>
      <c r="E99" s="4" t="s">
        <v>504</v>
      </c>
      <c r="F99" s="4" t="s">
        <v>1014</v>
      </c>
      <c r="G99" s="4" t="s">
        <v>1015</v>
      </c>
      <c r="H99" s="4" t="s">
        <v>668</v>
      </c>
      <c r="I99" s="4" t="s">
        <v>26</v>
      </c>
      <c r="J99" s="4" t="s">
        <v>497</v>
      </c>
      <c r="K99" s="4">
        <v>30</v>
      </c>
      <c r="L99" s="4" t="s">
        <v>1007</v>
      </c>
      <c r="M99" s="4" t="s">
        <v>1016</v>
      </c>
      <c r="N99" s="4" t="s">
        <v>1017</v>
      </c>
      <c r="O99" s="4" t="s">
        <v>582</v>
      </c>
      <c r="P99" s="4" t="s">
        <v>659</v>
      </c>
      <c r="Q99" s="4"/>
      <c r="R99" s="4"/>
      <c r="S99" s="4"/>
      <c r="T99" s="4"/>
      <c r="U99" s="5">
        <v>46289</v>
      </c>
      <c r="V99" s="4"/>
    </row>
    <row r="100" spans="1:22" x14ac:dyDescent="0.3">
      <c r="A100" s="4">
        <v>99</v>
      </c>
      <c r="B100" s="4">
        <v>2</v>
      </c>
      <c r="C100" s="4" t="s">
        <v>509</v>
      </c>
      <c r="D100" s="4" t="s">
        <v>1018</v>
      </c>
      <c r="E100" s="4" t="s">
        <v>504</v>
      </c>
      <c r="F100" s="4" t="s">
        <v>1019</v>
      </c>
      <c r="G100" s="4" t="s">
        <v>1020</v>
      </c>
      <c r="H100" s="4" t="s">
        <v>668</v>
      </c>
      <c r="I100" s="4" t="s">
        <v>26</v>
      </c>
      <c r="J100" s="4" t="s">
        <v>497</v>
      </c>
      <c r="K100" s="4">
        <v>50</v>
      </c>
      <c r="L100" s="4" t="s">
        <v>1013</v>
      </c>
      <c r="M100" s="4" t="s">
        <v>1021</v>
      </c>
      <c r="N100" s="4" t="s">
        <v>1022</v>
      </c>
      <c r="O100" s="4" t="s">
        <v>582</v>
      </c>
      <c r="P100" s="4" t="s">
        <v>659</v>
      </c>
      <c r="Q100" s="4"/>
      <c r="R100" s="4"/>
      <c r="S100" s="4"/>
      <c r="T100" s="4"/>
      <c r="U100" s="5">
        <v>46289</v>
      </c>
      <c r="V100" s="4"/>
    </row>
    <row r="101" spans="1:22" x14ac:dyDescent="0.3">
      <c r="A101" s="4">
        <v>100</v>
      </c>
      <c r="B101" s="4">
        <v>2</v>
      </c>
      <c r="C101" s="4" t="s">
        <v>509</v>
      </c>
      <c r="D101" s="4" t="s">
        <v>1023</v>
      </c>
      <c r="E101" s="4" t="s">
        <v>504</v>
      </c>
      <c r="F101" s="4" t="s">
        <v>1024</v>
      </c>
      <c r="G101" s="4" t="s">
        <v>1025</v>
      </c>
      <c r="H101" s="4" t="s">
        <v>668</v>
      </c>
      <c r="I101" s="4" t="s">
        <v>26</v>
      </c>
      <c r="J101" s="4" t="s">
        <v>497</v>
      </c>
      <c r="K101" s="4">
        <v>15</v>
      </c>
      <c r="L101" s="4" t="s">
        <v>1013</v>
      </c>
      <c r="M101" s="4" t="s">
        <v>1026</v>
      </c>
      <c r="N101" s="4" t="s">
        <v>1027</v>
      </c>
      <c r="O101" s="4" t="s">
        <v>582</v>
      </c>
      <c r="P101" s="4" t="s">
        <v>659</v>
      </c>
      <c r="Q101" s="4"/>
      <c r="R101" s="4"/>
      <c r="S101" s="4"/>
      <c r="T101" s="4"/>
      <c r="U101" s="5">
        <v>46289</v>
      </c>
      <c r="V101" s="4"/>
    </row>
    <row r="102" spans="1:22" x14ac:dyDescent="0.3">
      <c r="A102" s="4">
        <v>101</v>
      </c>
      <c r="B102" s="4">
        <v>2</v>
      </c>
      <c r="C102" s="4" t="s">
        <v>509</v>
      </c>
      <c r="D102" s="4" t="s">
        <v>1028</v>
      </c>
      <c r="E102" s="4" t="s">
        <v>504</v>
      </c>
      <c r="F102" s="4" t="s">
        <v>1029</v>
      </c>
      <c r="G102" s="4" t="s">
        <v>1030</v>
      </c>
      <c r="H102" s="4" t="s">
        <v>668</v>
      </c>
      <c r="I102" s="4" t="s">
        <v>26</v>
      </c>
      <c r="J102" s="4" t="s">
        <v>499</v>
      </c>
      <c r="K102" s="4">
        <v>5</v>
      </c>
      <c r="L102" s="4" t="s">
        <v>1013</v>
      </c>
      <c r="M102" s="4"/>
      <c r="N102" s="4" t="s">
        <v>1031</v>
      </c>
      <c r="O102" s="4" t="s">
        <v>659</v>
      </c>
      <c r="P102" s="4" t="s">
        <v>659</v>
      </c>
      <c r="Q102" s="4"/>
      <c r="R102" s="4"/>
      <c r="S102" s="4"/>
      <c r="T102" s="4"/>
      <c r="U102" s="5">
        <v>46289</v>
      </c>
      <c r="V102" s="4"/>
    </row>
    <row r="103" spans="1:22" x14ac:dyDescent="0.3">
      <c r="A103" s="4">
        <v>102</v>
      </c>
      <c r="B103" s="4">
        <v>2</v>
      </c>
      <c r="C103" s="4" t="s">
        <v>509</v>
      </c>
      <c r="D103" s="4" t="s">
        <v>1032</v>
      </c>
      <c r="E103" s="4" t="s">
        <v>504</v>
      </c>
      <c r="F103" s="4" t="s">
        <v>1033</v>
      </c>
      <c r="G103" s="4" t="s">
        <v>1034</v>
      </c>
      <c r="H103" s="4" t="s">
        <v>538</v>
      </c>
      <c r="I103" s="4" t="s">
        <v>51</v>
      </c>
      <c r="J103" s="4" t="s">
        <v>497</v>
      </c>
      <c r="K103" s="4">
        <v>25</v>
      </c>
      <c r="L103" s="4" t="s">
        <v>1028</v>
      </c>
      <c r="M103" s="4" t="s">
        <v>1035</v>
      </c>
      <c r="N103" s="4" t="s">
        <v>1036</v>
      </c>
      <c r="O103" s="4" t="s">
        <v>646</v>
      </c>
      <c r="P103" s="4" t="s">
        <v>1037</v>
      </c>
      <c r="Q103" s="4"/>
      <c r="R103" s="4"/>
      <c r="S103" s="4"/>
      <c r="T103" s="4"/>
      <c r="U103" s="5">
        <v>46289</v>
      </c>
      <c r="V103" s="4"/>
    </row>
    <row r="104" spans="1:22" x14ac:dyDescent="0.3">
      <c r="A104" s="4">
        <v>103</v>
      </c>
      <c r="B104" s="4">
        <v>2</v>
      </c>
      <c r="C104" s="4" t="s">
        <v>509</v>
      </c>
      <c r="D104" s="4" t="s">
        <v>1038</v>
      </c>
      <c r="E104" s="4" t="s">
        <v>127</v>
      </c>
      <c r="F104" s="4" t="s">
        <v>1039</v>
      </c>
      <c r="G104" s="4" t="s">
        <v>1040</v>
      </c>
      <c r="H104" s="4" t="s">
        <v>668</v>
      </c>
      <c r="I104" s="4" t="s">
        <v>51</v>
      </c>
      <c r="J104" s="4" t="s">
        <v>499</v>
      </c>
      <c r="K104" s="4">
        <v>0</v>
      </c>
      <c r="L104" s="4" t="s">
        <v>968</v>
      </c>
      <c r="M104" s="4"/>
      <c r="N104" s="4" t="s">
        <v>1041</v>
      </c>
      <c r="O104" s="4" t="s">
        <v>625</v>
      </c>
      <c r="P104" s="4" t="s">
        <v>659</v>
      </c>
      <c r="Q104" s="4"/>
      <c r="R104" s="4"/>
      <c r="S104" s="4"/>
      <c r="T104" s="4"/>
      <c r="U104" s="5">
        <v>46289</v>
      </c>
      <c r="V104" s="4"/>
    </row>
    <row r="105" spans="1:22" x14ac:dyDescent="0.3">
      <c r="A105" s="4">
        <v>104</v>
      </c>
      <c r="B105" s="4">
        <v>2</v>
      </c>
      <c r="C105" s="4" t="s">
        <v>509</v>
      </c>
      <c r="D105" s="4" t="s">
        <v>1042</v>
      </c>
      <c r="E105" s="4" t="s">
        <v>510</v>
      </c>
      <c r="F105" s="4" t="s">
        <v>1043</v>
      </c>
      <c r="G105" s="4" t="s">
        <v>1044</v>
      </c>
      <c r="H105" s="4" t="s">
        <v>668</v>
      </c>
      <c r="I105" s="4" t="s">
        <v>26</v>
      </c>
      <c r="J105" s="4" t="s">
        <v>499</v>
      </c>
      <c r="K105" s="4">
        <v>10</v>
      </c>
      <c r="L105" s="4" t="s">
        <v>1013</v>
      </c>
      <c r="M105" s="4" t="s">
        <v>1045</v>
      </c>
      <c r="N105" s="4" t="s">
        <v>1046</v>
      </c>
      <c r="O105" s="4" t="s">
        <v>659</v>
      </c>
      <c r="P105" s="4" t="s">
        <v>659</v>
      </c>
      <c r="Q105" s="4"/>
      <c r="R105" s="4"/>
      <c r="S105" s="4"/>
      <c r="T105" s="4"/>
      <c r="U105" s="5">
        <v>46289</v>
      </c>
      <c r="V105" s="4"/>
    </row>
    <row r="106" spans="1:22" x14ac:dyDescent="0.3">
      <c r="A106" s="4">
        <v>105</v>
      </c>
      <c r="B106" s="4">
        <v>2</v>
      </c>
      <c r="C106" s="4" t="s">
        <v>509</v>
      </c>
      <c r="D106" s="4" t="s">
        <v>1047</v>
      </c>
      <c r="E106" s="4" t="s">
        <v>510</v>
      </c>
      <c r="F106" s="4" t="s">
        <v>1048</v>
      </c>
      <c r="G106" s="4" t="s">
        <v>1049</v>
      </c>
      <c r="H106" s="4" t="s">
        <v>668</v>
      </c>
      <c r="I106" s="4" t="s">
        <v>51</v>
      </c>
      <c r="J106" s="4" t="s">
        <v>499</v>
      </c>
      <c r="K106" s="4">
        <v>0</v>
      </c>
      <c r="L106" s="4" t="s">
        <v>1042</v>
      </c>
      <c r="M106" s="4"/>
      <c r="N106" s="4" t="s">
        <v>1050</v>
      </c>
      <c r="O106" s="4" t="s">
        <v>659</v>
      </c>
      <c r="P106" s="4" t="s">
        <v>659</v>
      </c>
      <c r="Q106" s="4"/>
      <c r="R106" s="4"/>
      <c r="S106" s="4"/>
      <c r="T106" s="4"/>
      <c r="U106" s="5">
        <v>46289</v>
      </c>
      <c r="V106" s="4"/>
    </row>
    <row r="107" spans="1:22" x14ac:dyDescent="0.3">
      <c r="A107" s="4">
        <v>106</v>
      </c>
      <c r="B107" s="4">
        <v>2</v>
      </c>
      <c r="C107" s="4" t="s">
        <v>509</v>
      </c>
      <c r="D107" s="4" t="s">
        <v>1051</v>
      </c>
      <c r="E107" s="4" t="s">
        <v>510</v>
      </c>
      <c r="F107" s="4" t="s">
        <v>1052</v>
      </c>
      <c r="G107" s="4" t="s">
        <v>1053</v>
      </c>
      <c r="H107" s="4" t="s">
        <v>668</v>
      </c>
      <c r="I107" s="4" t="s">
        <v>51</v>
      </c>
      <c r="J107" s="4" t="s">
        <v>499</v>
      </c>
      <c r="K107" s="4">
        <v>0</v>
      </c>
      <c r="L107" s="4" t="s">
        <v>1013</v>
      </c>
      <c r="M107" s="4"/>
      <c r="N107" s="4" t="s">
        <v>1050</v>
      </c>
      <c r="O107" s="4" t="s">
        <v>659</v>
      </c>
      <c r="P107" s="4" t="s">
        <v>659</v>
      </c>
      <c r="Q107" s="4"/>
      <c r="R107" s="4"/>
      <c r="S107" s="4"/>
      <c r="T107" s="4"/>
      <c r="U107" s="5">
        <v>46289</v>
      </c>
      <c r="V107" s="4"/>
    </row>
    <row r="108" spans="1:22" x14ac:dyDescent="0.3">
      <c r="A108" s="4">
        <v>107</v>
      </c>
      <c r="B108" s="4">
        <v>2</v>
      </c>
      <c r="C108" s="4" t="s">
        <v>509</v>
      </c>
      <c r="D108" s="4" t="s">
        <v>1054</v>
      </c>
      <c r="E108" s="4" t="s">
        <v>510</v>
      </c>
      <c r="F108" s="4" t="s">
        <v>1055</v>
      </c>
      <c r="G108" s="4" t="s">
        <v>1056</v>
      </c>
      <c r="H108" s="4" t="s">
        <v>668</v>
      </c>
      <c r="I108" s="4" t="s">
        <v>51</v>
      </c>
      <c r="J108" s="4" t="s">
        <v>499</v>
      </c>
      <c r="K108" s="4">
        <v>5</v>
      </c>
      <c r="L108" s="4" t="s">
        <v>1013</v>
      </c>
      <c r="M108" s="4" t="s">
        <v>1057</v>
      </c>
      <c r="N108" s="4" t="s">
        <v>1058</v>
      </c>
      <c r="O108" s="4" t="s">
        <v>659</v>
      </c>
      <c r="P108" s="4" t="s">
        <v>1059</v>
      </c>
      <c r="Q108" s="4"/>
      <c r="R108" s="4"/>
      <c r="S108" s="4"/>
      <c r="T108" s="4"/>
      <c r="U108" s="5">
        <v>46289</v>
      </c>
      <c r="V108" s="4"/>
    </row>
    <row r="109" spans="1:22" x14ac:dyDescent="0.3">
      <c r="A109" s="4">
        <v>108</v>
      </c>
      <c r="B109" s="4">
        <v>2</v>
      </c>
      <c r="C109" s="4" t="s">
        <v>509</v>
      </c>
      <c r="D109" s="4" t="s">
        <v>1060</v>
      </c>
      <c r="E109" s="4" t="s">
        <v>504</v>
      </c>
      <c r="F109" s="4" t="s">
        <v>1061</v>
      </c>
      <c r="G109" s="4" t="s">
        <v>1062</v>
      </c>
      <c r="H109" s="4" t="s">
        <v>668</v>
      </c>
      <c r="I109" s="4" t="s">
        <v>51</v>
      </c>
      <c r="J109" s="4" t="s">
        <v>499</v>
      </c>
      <c r="K109" s="4">
        <v>0</v>
      </c>
      <c r="L109" s="4" t="s">
        <v>1063</v>
      </c>
      <c r="M109" s="4" t="s">
        <v>1064</v>
      </c>
      <c r="N109" s="4" t="s">
        <v>1065</v>
      </c>
      <c r="O109" s="4" t="s">
        <v>659</v>
      </c>
      <c r="P109" s="4" t="s">
        <v>659</v>
      </c>
      <c r="Q109" s="4"/>
      <c r="R109" s="4"/>
      <c r="S109" s="4"/>
      <c r="T109" s="4"/>
      <c r="U109" s="5">
        <v>46289</v>
      </c>
      <c r="V109" s="4"/>
    </row>
    <row r="110" spans="1:22" x14ac:dyDescent="0.3">
      <c r="A110" s="4">
        <v>109</v>
      </c>
      <c r="B110" s="4">
        <v>2</v>
      </c>
      <c r="C110" s="4" t="s">
        <v>509</v>
      </c>
      <c r="D110" s="4" t="s">
        <v>136</v>
      </c>
      <c r="E110" s="4" t="s">
        <v>135</v>
      </c>
      <c r="F110" s="4" t="s">
        <v>1066</v>
      </c>
      <c r="G110" s="4" t="s">
        <v>1067</v>
      </c>
      <c r="H110" s="4" t="s">
        <v>668</v>
      </c>
      <c r="I110" s="4" t="s">
        <v>26</v>
      </c>
      <c r="J110" s="4" t="s">
        <v>499</v>
      </c>
      <c r="K110" s="4">
        <v>5</v>
      </c>
      <c r="L110" s="4"/>
      <c r="M110" s="4"/>
      <c r="N110" s="4" t="s">
        <v>1068</v>
      </c>
      <c r="O110" s="4" t="s">
        <v>1069</v>
      </c>
      <c r="P110" s="4" t="s">
        <v>659</v>
      </c>
      <c r="Q110" s="4"/>
      <c r="R110" s="4"/>
      <c r="S110" s="4"/>
      <c r="T110" s="4"/>
      <c r="U110" s="5">
        <v>46289</v>
      </c>
      <c r="V110" s="4"/>
    </row>
    <row r="111" spans="1:22" x14ac:dyDescent="0.3">
      <c r="A111" s="4">
        <v>110</v>
      </c>
      <c r="B111" s="4">
        <v>2</v>
      </c>
      <c r="C111" s="4" t="s">
        <v>509</v>
      </c>
      <c r="D111" s="4" t="s">
        <v>139</v>
      </c>
      <c r="E111" s="4" t="s">
        <v>135</v>
      </c>
      <c r="F111" s="4" t="s">
        <v>140</v>
      </c>
      <c r="G111" s="4" t="s">
        <v>1070</v>
      </c>
      <c r="H111" s="4" t="s">
        <v>668</v>
      </c>
      <c r="I111" s="4" t="s">
        <v>26</v>
      </c>
      <c r="J111" s="4" t="s">
        <v>499</v>
      </c>
      <c r="K111" s="4">
        <v>5</v>
      </c>
      <c r="L111" s="4" t="s">
        <v>136</v>
      </c>
      <c r="M111" s="4" t="s">
        <v>1071</v>
      </c>
      <c r="N111" s="4" t="s">
        <v>1072</v>
      </c>
      <c r="O111" s="4" t="s">
        <v>659</v>
      </c>
      <c r="P111" s="4" t="s">
        <v>1073</v>
      </c>
      <c r="Q111" s="4"/>
      <c r="R111" s="4"/>
      <c r="S111" s="4"/>
      <c r="T111" s="4"/>
      <c r="U111" s="5">
        <v>46289</v>
      </c>
      <c r="V111" s="4"/>
    </row>
    <row r="112" spans="1:22" x14ac:dyDescent="0.3">
      <c r="A112" s="4">
        <v>111</v>
      </c>
      <c r="B112" s="4">
        <v>2</v>
      </c>
      <c r="C112" s="4" t="s">
        <v>509</v>
      </c>
      <c r="D112" s="4" t="s">
        <v>142</v>
      </c>
      <c r="E112" s="4" t="s">
        <v>135</v>
      </c>
      <c r="F112" s="4" t="s">
        <v>143</v>
      </c>
      <c r="G112" s="4" t="s">
        <v>1074</v>
      </c>
      <c r="H112" s="4" t="s">
        <v>538</v>
      </c>
      <c r="I112" s="4" t="s">
        <v>26</v>
      </c>
      <c r="J112" s="4" t="s">
        <v>497</v>
      </c>
      <c r="K112" s="4">
        <v>30</v>
      </c>
      <c r="L112" s="4" t="s">
        <v>136</v>
      </c>
      <c r="M112" s="4" t="s">
        <v>1075</v>
      </c>
      <c r="N112" s="4" t="s">
        <v>1076</v>
      </c>
      <c r="O112" s="4" t="s">
        <v>1077</v>
      </c>
      <c r="P112" s="4" t="s">
        <v>1078</v>
      </c>
      <c r="Q112" s="4"/>
      <c r="R112" s="4"/>
      <c r="S112" s="4"/>
      <c r="T112" s="4"/>
      <c r="U112" s="5">
        <v>46289</v>
      </c>
      <c r="V112" s="4"/>
    </row>
    <row r="113" spans="1:22" x14ac:dyDescent="0.3">
      <c r="A113" s="4">
        <v>112</v>
      </c>
      <c r="B113" s="4">
        <v>2</v>
      </c>
      <c r="C113" s="4" t="s">
        <v>509</v>
      </c>
      <c r="D113" s="4" t="s">
        <v>145</v>
      </c>
      <c r="E113" s="4" t="s">
        <v>135</v>
      </c>
      <c r="F113" s="4" t="s">
        <v>1079</v>
      </c>
      <c r="G113" s="4" t="s">
        <v>1080</v>
      </c>
      <c r="H113" s="4" t="s">
        <v>538</v>
      </c>
      <c r="I113" s="4" t="s">
        <v>26</v>
      </c>
      <c r="J113" s="4" t="s">
        <v>499</v>
      </c>
      <c r="K113" s="4">
        <v>0</v>
      </c>
      <c r="L113" s="4" t="s">
        <v>136</v>
      </c>
      <c r="M113" s="4"/>
      <c r="N113" s="4" t="s">
        <v>1050</v>
      </c>
      <c r="O113" s="4" t="s">
        <v>659</v>
      </c>
      <c r="P113" s="4" t="s">
        <v>659</v>
      </c>
      <c r="Q113" s="4"/>
      <c r="R113" s="4"/>
      <c r="S113" s="4"/>
      <c r="T113" s="4"/>
      <c r="U113" s="5">
        <v>46289</v>
      </c>
      <c r="V113" s="4"/>
    </row>
    <row r="114" spans="1:22" x14ac:dyDescent="0.3">
      <c r="A114" s="4">
        <v>113</v>
      </c>
      <c r="B114" s="4">
        <v>2</v>
      </c>
      <c r="C114" s="4" t="s">
        <v>509</v>
      </c>
      <c r="D114" s="4" t="s">
        <v>148</v>
      </c>
      <c r="E114" s="4" t="s">
        <v>135</v>
      </c>
      <c r="F114" s="4" t="s">
        <v>1081</v>
      </c>
      <c r="G114" s="4" t="s">
        <v>1082</v>
      </c>
      <c r="H114" s="4" t="s">
        <v>538</v>
      </c>
      <c r="I114" s="4" t="s">
        <v>51</v>
      </c>
      <c r="J114" s="4" t="s">
        <v>499</v>
      </c>
      <c r="K114" s="4">
        <v>0</v>
      </c>
      <c r="L114" s="4" t="s">
        <v>136</v>
      </c>
      <c r="M114" s="4"/>
      <c r="N114" s="4" t="s">
        <v>1050</v>
      </c>
      <c r="O114" s="4" t="s">
        <v>659</v>
      </c>
      <c r="P114" s="4" t="s">
        <v>659</v>
      </c>
      <c r="Q114" s="4"/>
      <c r="R114" s="4"/>
      <c r="S114" s="4"/>
      <c r="T114" s="4"/>
      <c r="U114" s="5">
        <v>46289</v>
      </c>
      <c r="V114" s="4"/>
    </row>
    <row r="115" spans="1:22" x14ac:dyDescent="0.3">
      <c r="A115" s="4">
        <v>114</v>
      </c>
      <c r="B115" s="4">
        <v>2</v>
      </c>
      <c r="C115" s="4" t="s">
        <v>509</v>
      </c>
      <c r="D115" s="4" t="s">
        <v>151</v>
      </c>
      <c r="E115" s="4" t="s">
        <v>135</v>
      </c>
      <c r="F115" s="4" t="s">
        <v>1083</v>
      </c>
      <c r="G115" s="4" t="s">
        <v>1084</v>
      </c>
      <c r="H115" s="4" t="s">
        <v>538</v>
      </c>
      <c r="I115" s="4" t="s">
        <v>26</v>
      </c>
      <c r="J115" s="4" t="s">
        <v>497</v>
      </c>
      <c r="K115" s="4">
        <v>35</v>
      </c>
      <c r="L115" s="4"/>
      <c r="M115" s="4" t="s">
        <v>1085</v>
      </c>
      <c r="N115" s="4" t="s">
        <v>1086</v>
      </c>
      <c r="O115" s="4" t="s">
        <v>1077</v>
      </c>
      <c r="P115" s="4" t="s">
        <v>1087</v>
      </c>
      <c r="Q115" s="4"/>
      <c r="R115" s="4"/>
      <c r="S115" s="4"/>
      <c r="T115" s="4"/>
      <c r="U115" s="5">
        <v>46289</v>
      </c>
      <c r="V115" s="4"/>
    </row>
    <row r="116" spans="1:22" x14ac:dyDescent="0.3">
      <c r="A116" s="4">
        <v>115</v>
      </c>
      <c r="B116" s="4">
        <v>2</v>
      </c>
      <c r="C116" s="4" t="s">
        <v>509</v>
      </c>
      <c r="D116" s="4" t="s">
        <v>154</v>
      </c>
      <c r="E116" s="4" t="s">
        <v>135</v>
      </c>
      <c r="F116" s="4" t="s">
        <v>1088</v>
      </c>
      <c r="G116" s="4" t="s">
        <v>1089</v>
      </c>
      <c r="H116" s="4" t="s">
        <v>538</v>
      </c>
      <c r="I116" s="4" t="s">
        <v>51</v>
      </c>
      <c r="J116" s="4" t="s">
        <v>497</v>
      </c>
      <c r="K116" s="4">
        <v>30</v>
      </c>
      <c r="L116" s="4" t="s">
        <v>151</v>
      </c>
      <c r="M116" s="4" t="s">
        <v>1090</v>
      </c>
      <c r="N116" s="4" t="s">
        <v>1091</v>
      </c>
      <c r="O116" s="4" t="s">
        <v>711</v>
      </c>
      <c r="P116" s="4" t="s">
        <v>1092</v>
      </c>
      <c r="Q116" s="4"/>
      <c r="R116" s="4"/>
      <c r="S116" s="4"/>
      <c r="T116" s="4"/>
      <c r="U116" s="5">
        <v>46289</v>
      </c>
      <c r="V116" s="4"/>
    </row>
    <row r="117" spans="1:22" x14ac:dyDescent="0.3">
      <c r="A117" s="4">
        <v>116</v>
      </c>
      <c r="B117" s="4">
        <v>2</v>
      </c>
      <c r="C117" s="4" t="s">
        <v>509</v>
      </c>
      <c r="D117" s="4" t="s">
        <v>157</v>
      </c>
      <c r="E117" s="4" t="s">
        <v>135</v>
      </c>
      <c r="F117" s="4" t="s">
        <v>158</v>
      </c>
      <c r="G117" s="4" t="s">
        <v>1093</v>
      </c>
      <c r="H117" s="4" t="s">
        <v>538</v>
      </c>
      <c r="I117" s="4" t="s">
        <v>51</v>
      </c>
      <c r="J117" s="4" t="s">
        <v>497</v>
      </c>
      <c r="K117" s="4">
        <v>40</v>
      </c>
      <c r="L117" s="4"/>
      <c r="M117" s="4" t="s">
        <v>1094</v>
      </c>
      <c r="N117" s="4" t="s">
        <v>1095</v>
      </c>
      <c r="O117" s="4" t="s">
        <v>1096</v>
      </c>
      <c r="P117" s="4" t="s">
        <v>1097</v>
      </c>
      <c r="Q117" s="4"/>
      <c r="R117" s="4"/>
      <c r="S117" s="4"/>
      <c r="T117" s="4"/>
      <c r="U117" s="5">
        <v>46289</v>
      </c>
      <c r="V117" s="4"/>
    </row>
    <row r="118" spans="1:22" x14ac:dyDescent="0.3">
      <c r="A118" s="4">
        <v>117</v>
      </c>
      <c r="B118" s="4">
        <v>2</v>
      </c>
      <c r="C118" s="4" t="s">
        <v>509</v>
      </c>
      <c r="D118" s="4" t="s">
        <v>1098</v>
      </c>
      <c r="E118" s="4" t="s">
        <v>505</v>
      </c>
      <c r="F118" s="4" t="s">
        <v>1099</v>
      </c>
      <c r="G118" s="4" t="s">
        <v>1100</v>
      </c>
      <c r="H118" s="4" t="s">
        <v>538</v>
      </c>
      <c r="I118" s="4" t="s">
        <v>51</v>
      </c>
      <c r="J118" s="4" t="s">
        <v>496</v>
      </c>
      <c r="K118" s="4">
        <v>80</v>
      </c>
      <c r="L118" s="4"/>
      <c r="M118" s="4" t="s">
        <v>1101</v>
      </c>
      <c r="N118" s="4" t="s">
        <v>1102</v>
      </c>
      <c r="O118" s="4" t="s">
        <v>1103</v>
      </c>
      <c r="P118" s="4" t="s">
        <v>659</v>
      </c>
      <c r="Q118" s="4"/>
      <c r="R118" s="4"/>
      <c r="S118" s="4"/>
      <c r="T118" s="4"/>
      <c r="U118" s="5">
        <v>46289</v>
      </c>
      <c r="V118" s="4"/>
    </row>
    <row r="119" spans="1:22" x14ac:dyDescent="0.3">
      <c r="A119" s="4">
        <v>118</v>
      </c>
      <c r="B119" s="4">
        <v>2</v>
      </c>
      <c r="C119" s="4" t="s">
        <v>509</v>
      </c>
      <c r="D119" s="4" t="s">
        <v>169</v>
      </c>
      <c r="E119" s="4" t="s">
        <v>135</v>
      </c>
      <c r="F119" s="4" t="s">
        <v>170</v>
      </c>
      <c r="G119" s="4" t="s">
        <v>1104</v>
      </c>
      <c r="H119" s="4" t="s">
        <v>668</v>
      </c>
      <c r="I119" s="4" t="s">
        <v>51</v>
      </c>
      <c r="J119" s="4" t="s">
        <v>497</v>
      </c>
      <c r="K119" s="4">
        <v>30</v>
      </c>
      <c r="L119" s="4" t="s">
        <v>1098</v>
      </c>
      <c r="M119" s="4" t="s">
        <v>1105</v>
      </c>
      <c r="N119" s="4" t="s">
        <v>1106</v>
      </c>
      <c r="O119" s="4" t="s">
        <v>659</v>
      </c>
      <c r="P119" s="4" t="s">
        <v>1107</v>
      </c>
      <c r="Q119" s="4"/>
      <c r="R119" s="4"/>
      <c r="S119" s="4"/>
      <c r="T119" s="4"/>
      <c r="U119" s="5">
        <v>46289</v>
      </c>
      <c r="V119" s="4"/>
    </row>
    <row r="120" spans="1:22" x14ac:dyDescent="0.3">
      <c r="A120" s="4">
        <v>119</v>
      </c>
      <c r="B120" s="4">
        <v>2</v>
      </c>
      <c r="C120" s="4" t="s">
        <v>509</v>
      </c>
      <c r="D120" s="4" t="s">
        <v>160</v>
      </c>
      <c r="E120" s="4" t="s">
        <v>135</v>
      </c>
      <c r="F120" s="4" t="s">
        <v>161</v>
      </c>
      <c r="G120" s="4" t="s">
        <v>1108</v>
      </c>
      <c r="H120" s="4" t="s">
        <v>538</v>
      </c>
      <c r="I120" s="4" t="s">
        <v>26</v>
      </c>
      <c r="J120" s="4" t="s">
        <v>497</v>
      </c>
      <c r="K120" s="4">
        <v>20</v>
      </c>
      <c r="L120" s="4" t="s">
        <v>136</v>
      </c>
      <c r="M120" s="4" t="s">
        <v>1109</v>
      </c>
      <c r="N120" s="4" t="s">
        <v>1110</v>
      </c>
      <c r="O120" s="4" t="s">
        <v>659</v>
      </c>
      <c r="P120" s="4" t="s">
        <v>659</v>
      </c>
      <c r="Q120" s="4"/>
      <c r="R120" s="4"/>
      <c r="S120" s="4"/>
      <c r="T120" s="4"/>
      <c r="U120" s="5">
        <v>46289</v>
      </c>
      <c r="V120" s="4"/>
    </row>
    <row r="121" spans="1:22" x14ac:dyDescent="0.3">
      <c r="A121" s="4">
        <v>120</v>
      </c>
      <c r="B121" s="4">
        <v>2</v>
      </c>
      <c r="C121" s="4" t="s">
        <v>509</v>
      </c>
      <c r="D121" s="4" t="s">
        <v>163</v>
      </c>
      <c r="E121" s="4" t="s">
        <v>135</v>
      </c>
      <c r="F121" s="4" t="s">
        <v>164</v>
      </c>
      <c r="G121" s="4" t="s">
        <v>1111</v>
      </c>
      <c r="H121" s="4" t="s">
        <v>538</v>
      </c>
      <c r="I121" s="4" t="s">
        <v>26</v>
      </c>
      <c r="J121" s="4" t="s">
        <v>499</v>
      </c>
      <c r="K121" s="4">
        <v>5</v>
      </c>
      <c r="L121" s="4" t="s">
        <v>160</v>
      </c>
      <c r="M121" s="4"/>
      <c r="N121" s="4" t="s">
        <v>1050</v>
      </c>
      <c r="O121" s="4" t="s">
        <v>659</v>
      </c>
      <c r="P121" s="4" t="s">
        <v>659</v>
      </c>
      <c r="Q121" s="4"/>
      <c r="R121" s="4"/>
      <c r="S121" s="4"/>
      <c r="T121" s="4"/>
      <c r="U121" s="5">
        <v>46289</v>
      </c>
      <c r="V121" s="4"/>
    </row>
    <row r="122" spans="1:22" x14ac:dyDescent="0.3">
      <c r="A122" s="4">
        <v>121</v>
      </c>
      <c r="B122" s="4">
        <v>2</v>
      </c>
      <c r="C122" s="4" t="s">
        <v>509</v>
      </c>
      <c r="D122" s="4" t="s">
        <v>166</v>
      </c>
      <c r="E122" s="4" t="s">
        <v>135</v>
      </c>
      <c r="F122" s="4" t="s">
        <v>167</v>
      </c>
      <c r="G122" s="4" t="s">
        <v>1112</v>
      </c>
      <c r="H122" s="4" t="s">
        <v>538</v>
      </c>
      <c r="I122" s="4" t="s">
        <v>51</v>
      </c>
      <c r="J122" s="4" t="s">
        <v>499</v>
      </c>
      <c r="K122" s="4">
        <v>0</v>
      </c>
      <c r="L122" s="4" t="s">
        <v>136</v>
      </c>
      <c r="M122" s="4"/>
      <c r="N122" s="4" t="s">
        <v>1050</v>
      </c>
      <c r="O122" s="4" t="s">
        <v>659</v>
      </c>
      <c r="P122" s="4" t="s">
        <v>659</v>
      </c>
      <c r="Q122" s="4"/>
      <c r="R122" s="4"/>
      <c r="S122" s="4"/>
      <c r="T122" s="4"/>
      <c r="U122" s="5">
        <v>46289</v>
      </c>
      <c r="V122" s="4"/>
    </row>
    <row r="123" spans="1:22" x14ac:dyDescent="0.3">
      <c r="A123" s="4">
        <v>122</v>
      </c>
      <c r="B123" s="4">
        <v>2</v>
      </c>
      <c r="C123" s="4" t="s">
        <v>509</v>
      </c>
      <c r="D123" s="4" t="s">
        <v>1113</v>
      </c>
      <c r="E123" s="4" t="s">
        <v>135</v>
      </c>
      <c r="F123" s="4" t="s">
        <v>1114</v>
      </c>
      <c r="G123" s="4" t="s">
        <v>1115</v>
      </c>
      <c r="H123" s="4" t="s">
        <v>538</v>
      </c>
      <c r="I123" s="4" t="s">
        <v>51</v>
      </c>
      <c r="J123" s="4" t="s">
        <v>497</v>
      </c>
      <c r="K123" s="4">
        <v>20</v>
      </c>
      <c r="L123" s="4" t="s">
        <v>163</v>
      </c>
      <c r="M123" s="4" t="s">
        <v>1116</v>
      </c>
      <c r="N123" s="4" t="s">
        <v>1117</v>
      </c>
      <c r="O123" s="4" t="s">
        <v>659</v>
      </c>
      <c r="P123" s="4" t="s">
        <v>1118</v>
      </c>
      <c r="Q123" s="4"/>
      <c r="R123" s="4"/>
      <c r="S123" s="4"/>
      <c r="T123" s="4"/>
      <c r="U123" s="5">
        <v>46289</v>
      </c>
      <c r="V123" s="4"/>
    </row>
    <row r="124" spans="1:22" x14ac:dyDescent="0.3">
      <c r="A124" s="4">
        <v>123</v>
      </c>
      <c r="B124" s="4">
        <v>2</v>
      </c>
      <c r="C124" s="4" t="s">
        <v>509</v>
      </c>
      <c r="D124" s="4" t="s">
        <v>1119</v>
      </c>
      <c r="E124" s="4" t="s">
        <v>510</v>
      </c>
      <c r="F124" s="4" t="s">
        <v>1120</v>
      </c>
      <c r="G124" s="4" t="s">
        <v>1121</v>
      </c>
      <c r="H124" s="4" t="s">
        <v>538</v>
      </c>
      <c r="I124" s="4" t="s">
        <v>51</v>
      </c>
      <c r="J124" s="4" t="s">
        <v>497</v>
      </c>
      <c r="K124" s="4">
        <v>20</v>
      </c>
      <c r="L124" s="4" t="s">
        <v>1113</v>
      </c>
      <c r="M124" s="4" t="s">
        <v>1116</v>
      </c>
      <c r="N124" s="4" t="s">
        <v>1122</v>
      </c>
      <c r="O124" s="4" t="s">
        <v>697</v>
      </c>
      <c r="P124" s="4" t="s">
        <v>659</v>
      </c>
      <c r="Q124" s="4"/>
      <c r="R124" s="4"/>
      <c r="S124" s="4"/>
      <c r="T124" s="4"/>
      <c r="U124" s="5">
        <v>46289</v>
      </c>
      <c r="V124" s="4"/>
    </row>
    <row r="125" spans="1:22" x14ac:dyDescent="0.3">
      <c r="A125" s="4">
        <v>124</v>
      </c>
      <c r="B125" s="4">
        <v>2</v>
      </c>
      <c r="C125" s="4" t="s">
        <v>509</v>
      </c>
      <c r="D125" s="4" t="s">
        <v>1123</v>
      </c>
      <c r="E125" s="4" t="s">
        <v>135</v>
      </c>
      <c r="F125" s="4" t="s">
        <v>1124</v>
      </c>
      <c r="G125" s="4" t="s">
        <v>1125</v>
      </c>
      <c r="H125" s="4" t="s">
        <v>668</v>
      </c>
      <c r="I125" s="4" t="s">
        <v>51</v>
      </c>
      <c r="J125" s="4" t="s">
        <v>499</v>
      </c>
      <c r="K125" s="4">
        <v>0</v>
      </c>
      <c r="L125" s="4" t="s">
        <v>163</v>
      </c>
      <c r="M125" s="4"/>
      <c r="N125" s="4" t="s">
        <v>1050</v>
      </c>
      <c r="O125" s="4" t="s">
        <v>659</v>
      </c>
      <c r="P125" s="4" t="s">
        <v>659</v>
      </c>
      <c r="Q125" s="4"/>
      <c r="R125" s="4"/>
      <c r="S125" s="4"/>
      <c r="T125" s="4"/>
      <c r="U125" s="5">
        <v>46289</v>
      </c>
      <c r="V125" s="4"/>
    </row>
    <row r="126" spans="1:22" x14ac:dyDescent="0.3">
      <c r="A126" s="4">
        <v>125</v>
      </c>
      <c r="B126" s="4">
        <v>2</v>
      </c>
      <c r="C126" s="4" t="s">
        <v>509</v>
      </c>
      <c r="D126" s="4" t="s">
        <v>1126</v>
      </c>
      <c r="E126" s="4" t="s">
        <v>510</v>
      </c>
      <c r="F126" s="4" t="s">
        <v>1127</v>
      </c>
      <c r="G126" s="4" t="s">
        <v>1128</v>
      </c>
      <c r="H126" s="4" t="s">
        <v>668</v>
      </c>
      <c r="I126" s="4" t="s">
        <v>51</v>
      </c>
      <c r="J126" s="4" t="s">
        <v>499</v>
      </c>
      <c r="K126" s="4">
        <v>0</v>
      </c>
      <c r="L126" s="4" t="s">
        <v>1038</v>
      </c>
      <c r="M126" s="4"/>
      <c r="N126" s="4" t="s">
        <v>1129</v>
      </c>
      <c r="O126" s="4" t="s">
        <v>659</v>
      </c>
      <c r="P126" s="4" t="s">
        <v>659</v>
      </c>
      <c r="Q126" s="4"/>
      <c r="R126" s="4"/>
      <c r="S126" s="4"/>
      <c r="T126" s="4"/>
      <c r="U126" s="5">
        <v>46289</v>
      </c>
      <c r="V126" s="4"/>
    </row>
    <row r="127" spans="1:22" x14ac:dyDescent="0.3">
      <c r="A127" s="4">
        <v>126</v>
      </c>
      <c r="B127" s="4">
        <v>2</v>
      </c>
      <c r="C127" s="4" t="s">
        <v>509</v>
      </c>
      <c r="D127" s="4" t="s">
        <v>1130</v>
      </c>
      <c r="E127" s="4" t="s">
        <v>510</v>
      </c>
      <c r="F127" s="4" t="s">
        <v>1131</v>
      </c>
      <c r="G127" s="4" t="s">
        <v>1132</v>
      </c>
      <c r="H127" s="4" t="s">
        <v>538</v>
      </c>
      <c r="I127" s="4" t="s">
        <v>51</v>
      </c>
      <c r="J127" s="4" t="s">
        <v>497</v>
      </c>
      <c r="K127" s="4">
        <v>30</v>
      </c>
      <c r="L127" s="4" t="s">
        <v>163</v>
      </c>
      <c r="M127" s="4" t="s">
        <v>1133</v>
      </c>
      <c r="N127" s="4" t="s">
        <v>1134</v>
      </c>
      <c r="O127" s="4" t="s">
        <v>1077</v>
      </c>
      <c r="P127" s="4" t="s">
        <v>1135</v>
      </c>
      <c r="Q127" s="4"/>
      <c r="R127" s="4"/>
      <c r="S127" s="4"/>
      <c r="T127" s="4"/>
      <c r="U127" s="5">
        <v>46289</v>
      </c>
      <c r="V127" s="4"/>
    </row>
    <row r="128" spans="1:22" x14ac:dyDescent="0.3">
      <c r="A128" s="4">
        <v>127</v>
      </c>
      <c r="B128" s="4">
        <v>2</v>
      </c>
      <c r="C128" s="4" t="s">
        <v>509</v>
      </c>
      <c r="D128" s="4" t="s">
        <v>1136</v>
      </c>
      <c r="E128" s="4" t="s">
        <v>510</v>
      </c>
      <c r="F128" s="4" t="s">
        <v>1137</v>
      </c>
      <c r="G128" s="4" t="s">
        <v>1138</v>
      </c>
      <c r="H128" s="4" t="s">
        <v>538</v>
      </c>
      <c r="I128" s="4" t="s">
        <v>51</v>
      </c>
      <c r="J128" s="4" t="s">
        <v>497</v>
      </c>
      <c r="K128" s="4">
        <v>20</v>
      </c>
      <c r="L128" s="4" t="s">
        <v>163</v>
      </c>
      <c r="M128" s="4" t="s">
        <v>1139</v>
      </c>
      <c r="N128" s="4" t="s">
        <v>1140</v>
      </c>
      <c r="O128" s="4" t="s">
        <v>582</v>
      </c>
      <c r="P128" s="4" t="s">
        <v>659</v>
      </c>
      <c r="Q128" s="4"/>
      <c r="R128" s="4"/>
      <c r="S128" s="4"/>
      <c r="T128" s="4"/>
      <c r="U128" s="5">
        <v>46289</v>
      </c>
      <c r="V128" s="4"/>
    </row>
    <row r="129" spans="1:22" x14ac:dyDescent="0.3">
      <c r="A129" s="4">
        <v>128</v>
      </c>
      <c r="B129" s="4">
        <v>2</v>
      </c>
      <c r="C129" s="4" t="s">
        <v>509</v>
      </c>
      <c r="D129" s="4" t="s">
        <v>1141</v>
      </c>
      <c r="E129" s="4" t="s">
        <v>510</v>
      </c>
      <c r="F129" s="4" t="s">
        <v>1142</v>
      </c>
      <c r="G129" s="4" t="s">
        <v>1143</v>
      </c>
      <c r="H129" s="4" t="s">
        <v>546</v>
      </c>
      <c r="I129" s="4" t="s">
        <v>51</v>
      </c>
      <c r="J129" s="4" t="s">
        <v>496</v>
      </c>
      <c r="K129" s="4">
        <v>70</v>
      </c>
      <c r="L129" s="4" t="s">
        <v>261</v>
      </c>
      <c r="M129" s="4" t="s">
        <v>1144</v>
      </c>
      <c r="N129" s="4" t="s">
        <v>1145</v>
      </c>
      <c r="O129" s="4" t="s">
        <v>646</v>
      </c>
      <c r="P129" s="4" t="s">
        <v>1146</v>
      </c>
      <c r="Q129" s="4"/>
      <c r="R129" s="4"/>
      <c r="S129" s="4"/>
      <c r="T129" s="4"/>
      <c r="U129" s="5">
        <v>46289</v>
      </c>
      <c r="V129" s="4"/>
    </row>
    <row r="130" spans="1:22" x14ac:dyDescent="0.3">
      <c r="A130" s="4">
        <v>129</v>
      </c>
      <c r="B130" s="4">
        <v>2</v>
      </c>
      <c r="C130" s="4" t="s">
        <v>509</v>
      </c>
      <c r="D130" s="4" t="s">
        <v>1147</v>
      </c>
      <c r="E130" s="4" t="s">
        <v>511</v>
      </c>
      <c r="F130" s="4" t="s">
        <v>1148</v>
      </c>
      <c r="G130" s="4" t="s">
        <v>1149</v>
      </c>
      <c r="H130" s="4" t="s">
        <v>538</v>
      </c>
      <c r="I130" s="4" t="s">
        <v>267</v>
      </c>
      <c r="J130" s="4" t="s">
        <v>497</v>
      </c>
      <c r="K130" s="4">
        <v>40</v>
      </c>
      <c r="L130" s="4" t="s">
        <v>1007</v>
      </c>
      <c r="M130" s="4" t="s">
        <v>1150</v>
      </c>
      <c r="N130" s="4" t="s">
        <v>1151</v>
      </c>
      <c r="O130" s="4" t="s">
        <v>560</v>
      </c>
      <c r="P130" s="4" t="s">
        <v>1059</v>
      </c>
      <c r="Q130" s="4"/>
      <c r="R130" s="4"/>
      <c r="S130" s="4"/>
      <c r="T130" s="4"/>
      <c r="U130" s="5">
        <v>46289</v>
      </c>
      <c r="V130" s="4"/>
    </row>
    <row r="131" spans="1:22" x14ac:dyDescent="0.3">
      <c r="A131" s="4">
        <v>130</v>
      </c>
      <c r="B131" s="4">
        <v>2</v>
      </c>
      <c r="C131" s="4" t="s">
        <v>509</v>
      </c>
      <c r="D131" s="4" t="s">
        <v>1152</v>
      </c>
      <c r="E131" s="4" t="s">
        <v>504</v>
      </c>
      <c r="F131" s="4" t="s">
        <v>1153</v>
      </c>
      <c r="G131" s="4" t="s">
        <v>1154</v>
      </c>
      <c r="H131" s="4" t="s">
        <v>538</v>
      </c>
      <c r="I131" s="4" t="s">
        <v>267</v>
      </c>
      <c r="J131" s="4" t="s">
        <v>499</v>
      </c>
      <c r="K131" s="4">
        <v>0</v>
      </c>
      <c r="L131" s="4" t="s">
        <v>1147</v>
      </c>
      <c r="M131" s="4"/>
      <c r="N131" s="4" t="s">
        <v>1155</v>
      </c>
      <c r="O131" s="4" t="s">
        <v>659</v>
      </c>
      <c r="P131" s="4" t="s">
        <v>659</v>
      </c>
      <c r="Q131" s="4"/>
      <c r="R131" s="4"/>
      <c r="S131" s="4"/>
      <c r="T131" s="4"/>
      <c r="U131" s="5">
        <v>46289</v>
      </c>
      <c r="V131" s="4"/>
    </row>
    <row r="132" spans="1:22" x14ac:dyDescent="0.3">
      <c r="A132" s="4">
        <v>131</v>
      </c>
      <c r="B132" s="4">
        <v>2</v>
      </c>
      <c r="C132" s="4" t="s">
        <v>509</v>
      </c>
      <c r="D132" s="4" t="s">
        <v>1156</v>
      </c>
      <c r="E132" s="4" t="s">
        <v>511</v>
      </c>
      <c r="F132" s="4" t="s">
        <v>1157</v>
      </c>
      <c r="G132" s="4" t="s">
        <v>1158</v>
      </c>
      <c r="H132" s="4" t="s">
        <v>668</v>
      </c>
      <c r="I132" s="4" t="s">
        <v>267</v>
      </c>
      <c r="J132" s="4" t="s">
        <v>499</v>
      </c>
      <c r="K132" s="4">
        <v>5</v>
      </c>
      <c r="L132" s="4" t="s">
        <v>1007</v>
      </c>
      <c r="M132" s="4"/>
      <c r="N132" s="4" t="s">
        <v>1159</v>
      </c>
      <c r="O132" s="4" t="s">
        <v>560</v>
      </c>
      <c r="P132" s="4" t="s">
        <v>659</v>
      </c>
      <c r="Q132" s="4"/>
      <c r="R132" s="4"/>
      <c r="S132" s="4"/>
      <c r="T132" s="4"/>
      <c r="U132" s="5">
        <v>46289</v>
      </c>
      <c r="V132" s="4"/>
    </row>
    <row r="133" spans="1:22" x14ac:dyDescent="0.3">
      <c r="A133" s="4">
        <v>132</v>
      </c>
      <c r="B133" s="4">
        <v>2</v>
      </c>
      <c r="C133" s="4" t="s">
        <v>509</v>
      </c>
      <c r="D133" s="4" t="s">
        <v>1160</v>
      </c>
      <c r="E133" s="4" t="s">
        <v>505</v>
      </c>
      <c r="F133" s="4" t="s">
        <v>1161</v>
      </c>
      <c r="G133" s="4" t="s">
        <v>1162</v>
      </c>
      <c r="H133" s="4" t="s">
        <v>538</v>
      </c>
      <c r="I133" s="4" t="s">
        <v>51</v>
      </c>
      <c r="J133" s="4" t="s">
        <v>499</v>
      </c>
      <c r="K133" s="4">
        <v>0</v>
      </c>
      <c r="L133" s="4" t="s">
        <v>968</v>
      </c>
      <c r="M133" s="4"/>
      <c r="N133" s="4" t="s">
        <v>1163</v>
      </c>
      <c r="O133" s="4" t="s">
        <v>659</v>
      </c>
      <c r="P133" s="4" t="s">
        <v>659</v>
      </c>
      <c r="Q133" s="4"/>
      <c r="R133" s="4"/>
      <c r="S133" s="4"/>
      <c r="T133" s="4"/>
      <c r="U133" s="5">
        <v>46289</v>
      </c>
      <c r="V133" s="4"/>
    </row>
    <row r="134" spans="1:22" x14ac:dyDescent="0.3">
      <c r="A134" s="4">
        <v>133</v>
      </c>
      <c r="B134" s="4">
        <v>2</v>
      </c>
      <c r="C134" s="4" t="s">
        <v>509</v>
      </c>
      <c r="D134" s="4" t="s">
        <v>1164</v>
      </c>
      <c r="E134" s="4" t="s">
        <v>504</v>
      </c>
      <c r="F134" s="4" t="s">
        <v>1165</v>
      </c>
      <c r="G134" s="4" t="s">
        <v>1166</v>
      </c>
      <c r="H134" s="4" t="s">
        <v>538</v>
      </c>
      <c r="I134" s="4" t="s">
        <v>51</v>
      </c>
      <c r="J134" s="4" t="s">
        <v>497</v>
      </c>
      <c r="K134" s="4">
        <v>55</v>
      </c>
      <c r="L134" s="4" t="s">
        <v>1160</v>
      </c>
      <c r="M134" s="4" t="s">
        <v>1167</v>
      </c>
      <c r="N134" s="4" t="s">
        <v>1168</v>
      </c>
      <c r="O134" s="4" t="s">
        <v>582</v>
      </c>
      <c r="P134" s="4" t="s">
        <v>1169</v>
      </c>
      <c r="Q134" s="4"/>
      <c r="R134" s="4"/>
      <c r="S134" s="4"/>
      <c r="T134" s="4"/>
      <c r="U134" s="5">
        <v>46289</v>
      </c>
      <c r="V134" s="4"/>
    </row>
    <row r="135" spans="1:22" x14ac:dyDescent="0.3">
      <c r="A135" s="4">
        <v>134</v>
      </c>
      <c r="B135" s="4">
        <v>2</v>
      </c>
      <c r="C135" s="4" t="s">
        <v>509</v>
      </c>
      <c r="D135" s="4" t="s">
        <v>1170</v>
      </c>
      <c r="E135" s="4" t="s">
        <v>505</v>
      </c>
      <c r="F135" s="4" t="s">
        <v>1171</v>
      </c>
      <c r="G135" s="4" t="s">
        <v>1172</v>
      </c>
      <c r="H135" s="4" t="s">
        <v>538</v>
      </c>
      <c r="I135" s="4" t="s">
        <v>267</v>
      </c>
      <c r="J135" s="4" t="s">
        <v>496</v>
      </c>
      <c r="K135" s="4">
        <v>80</v>
      </c>
      <c r="L135" s="4"/>
      <c r="M135" s="4" t="s">
        <v>1173</v>
      </c>
      <c r="N135" s="4" t="s">
        <v>1174</v>
      </c>
      <c r="O135" s="4" t="s">
        <v>548</v>
      </c>
      <c r="P135" s="4" t="s">
        <v>599</v>
      </c>
      <c r="Q135" s="4"/>
      <c r="R135" s="4"/>
      <c r="S135" s="4"/>
      <c r="T135" s="4"/>
      <c r="U135" s="5">
        <v>46289</v>
      </c>
      <c r="V135" s="4"/>
    </row>
    <row r="136" spans="1:22" x14ac:dyDescent="0.3">
      <c r="A136" s="4">
        <v>135</v>
      </c>
      <c r="B136" s="4">
        <v>2</v>
      </c>
      <c r="C136" s="4" t="s">
        <v>509</v>
      </c>
      <c r="D136" s="4" t="s">
        <v>1175</v>
      </c>
      <c r="E136" s="4" t="s">
        <v>505</v>
      </c>
      <c r="F136" s="4" t="s">
        <v>1176</v>
      </c>
      <c r="G136" s="4" t="s">
        <v>1177</v>
      </c>
      <c r="H136" s="4" t="s">
        <v>538</v>
      </c>
      <c r="I136" s="4" t="s">
        <v>267</v>
      </c>
      <c r="J136" s="4" t="s">
        <v>497</v>
      </c>
      <c r="K136" s="4">
        <v>60</v>
      </c>
      <c r="L136" s="4"/>
      <c r="M136" s="4" t="s">
        <v>1178</v>
      </c>
      <c r="N136" s="4" t="s">
        <v>1179</v>
      </c>
      <c r="O136" s="4" t="s">
        <v>1180</v>
      </c>
      <c r="P136" s="4" t="s">
        <v>1181</v>
      </c>
      <c r="Q136" s="4"/>
      <c r="R136" s="4"/>
      <c r="S136" s="4"/>
      <c r="T136" s="4"/>
      <c r="U136" s="5">
        <v>46289</v>
      </c>
      <c r="V136" s="4"/>
    </row>
    <row r="137" spans="1:22" x14ac:dyDescent="0.3">
      <c r="A137" s="4">
        <v>136</v>
      </c>
      <c r="B137" s="4">
        <v>2</v>
      </c>
      <c r="C137" s="4" t="s">
        <v>509</v>
      </c>
      <c r="D137" s="4" t="s">
        <v>1182</v>
      </c>
      <c r="E137" s="4" t="s">
        <v>513</v>
      </c>
      <c r="F137" s="4" t="s">
        <v>1183</v>
      </c>
      <c r="G137" s="4" t="s">
        <v>730</v>
      </c>
      <c r="H137" s="4" t="s">
        <v>538</v>
      </c>
      <c r="I137" s="4" t="s">
        <v>267</v>
      </c>
      <c r="J137" s="4" t="s">
        <v>497</v>
      </c>
      <c r="K137" s="4">
        <v>60</v>
      </c>
      <c r="L137" s="4" t="s">
        <v>1175</v>
      </c>
      <c r="M137" s="4" t="s">
        <v>1184</v>
      </c>
      <c r="N137" s="4" t="s">
        <v>1185</v>
      </c>
      <c r="O137" s="4" t="s">
        <v>732</v>
      </c>
      <c r="P137" s="4" t="s">
        <v>659</v>
      </c>
      <c r="Q137" s="4"/>
      <c r="R137" s="4"/>
      <c r="S137" s="4"/>
      <c r="T137" s="4"/>
      <c r="U137" s="5">
        <v>46289</v>
      </c>
      <c r="V137" s="4"/>
    </row>
    <row r="138" spans="1:22" x14ac:dyDescent="0.3">
      <c r="A138" s="4">
        <v>137</v>
      </c>
      <c r="B138" s="4">
        <v>2</v>
      </c>
      <c r="C138" s="4" t="s">
        <v>509</v>
      </c>
      <c r="D138" s="4" t="s">
        <v>1186</v>
      </c>
      <c r="E138" s="4" t="s">
        <v>505</v>
      </c>
      <c r="F138" s="4" t="s">
        <v>1187</v>
      </c>
      <c r="G138" s="4" t="s">
        <v>1188</v>
      </c>
      <c r="H138" s="4" t="s">
        <v>538</v>
      </c>
      <c r="I138" s="4" t="s">
        <v>267</v>
      </c>
      <c r="J138" s="4" t="s">
        <v>497</v>
      </c>
      <c r="K138" s="4">
        <v>70</v>
      </c>
      <c r="L138" s="4"/>
      <c r="M138" s="4" t="s">
        <v>1189</v>
      </c>
      <c r="N138" s="4" t="s">
        <v>1190</v>
      </c>
      <c r="O138" s="4" t="s">
        <v>1191</v>
      </c>
      <c r="P138" s="4" t="s">
        <v>1192</v>
      </c>
      <c r="Q138" s="4"/>
      <c r="R138" s="4"/>
      <c r="S138" s="4"/>
      <c r="T138" s="4"/>
      <c r="U138" s="5">
        <v>46289</v>
      </c>
      <c r="V138" s="4"/>
    </row>
    <row r="139" spans="1:22" x14ac:dyDescent="0.3">
      <c r="A139" s="4">
        <v>138</v>
      </c>
      <c r="B139" s="4">
        <v>2</v>
      </c>
      <c r="C139" s="4" t="s">
        <v>509</v>
      </c>
      <c r="D139" s="4" t="s">
        <v>1193</v>
      </c>
      <c r="E139" s="4" t="s">
        <v>505</v>
      </c>
      <c r="F139" s="4" t="s">
        <v>1194</v>
      </c>
      <c r="G139" s="4" t="s">
        <v>1195</v>
      </c>
      <c r="H139" s="4" t="s">
        <v>538</v>
      </c>
      <c r="I139" s="4" t="s">
        <v>267</v>
      </c>
      <c r="J139" s="4" t="s">
        <v>497</v>
      </c>
      <c r="K139" s="4">
        <v>60</v>
      </c>
      <c r="L139" s="4"/>
      <c r="M139" s="4" t="s">
        <v>1196</v>
      </c>
      <c r="N139" s="4" t="s">
        <v>1197</v>
      </c>
      <c r="O139" s="4" t="s">
        <v>1103</v>
      </c>
      <c r="P139" s="4" t="s">
        <v>659</v>
      </c>
      <c r="Q139" s="4"/>
      <c r="R139" s="4"/>
      <c r="S139" s="4"/>
      <c r="T139" s="4"/>
      <c r="U139" s="5">
        <v>46289</v>
      </c>
      <c r="V139" s="4"/>
    </row>
    <row r="140" spans="1:22" x14ac:dyDescent="0.3">
      <c r="A140" s="4">
        <v>139</v>
      </c>
      <c r="B140" s="4">
        <v>2</v>
      </c>
      <c r="C140" s="4" t="s">
        <v>509</v>
      </c>
      <c r="D140" s="4" t="s">
        <v>1198</v>
      </c>
      <c r="E140" s="4" t="s">
        <v>505</v>
      </c>
      <c r="F140" s="4" t="s">
        <v>1199</v>
      </c>
      <c r="G140" s="4" t="s">
        <v>1200</v>
      </c>
      <c r="H140" s="4" t="s">
        <v>538</v>
      </c>
      <c r="I140" s="4" t="s">
        <v>51</v>
      </c>
      <c r="J140" s="4" t="s">
        <v>497</v>
      </c>
      <c r="K140" s="4">
        <v>25</v>
      </c>
      <c r="L140" s="4"/>
      <c r="M140" s="4" t="s">
        <v>1201</v>
      </c>
      <c r="N140" s="4" t="s">
        <v>1202</v>
      </c>
      <c r="O140" s="4" t="s">
        <v>548</v>
      </c>
      <c r="P140" s="4" t="s">
        <v>1203</v>
      </c>
      <c r="Q140" s="4"/>
      <c r="R140" s="4"/>
      <c r="S140" s="4"/>
      <c r="T140" s="4"/>
      <c r="U140" s="5">
        <v>46289</v>
      </c>
      <c r="V140" s="4"/>
    </row>
    <row r="141" spans="1:22" x14ac:dyDescent="0.3">
      <c r="A141" s="4">
        <v>140</v>
      </c>
      <c r="B141" s="4">
        <v>2</v>
      </c>
      <c r="C141" s="4" t="s">
        <v>509</v>
      </c>
      <c r="D141" s="4" t="s">
        <v>1204</v>
      </c>
      <c r="E141" s="4" t="s">
        <v>504</v>
      </c>
      <c r="F141" s="4" t="s">
        <v>1205</v>
      </c>
      <c r="G141" s="4" t="s">
        <v>1206</v>
      </c>
      <c r="H141" s="4" t="s">
        <v>538</v>
      </c>
      <c r="I141" s="4" t="s">
        <v>51</v>
      </c>
      <c r="J141" s="4" t="s">
        <v>497</v>
      </c>
      <c r="K141" s="4">
        <v>40</v>
      </c>
      <c r="L141" s="4" t="s">
        <v>1198</v>
      </c>
      <c r="M141" s="4" t="s">
        <v>1207</v>
      </c>
      <c r="N141" s="4" t="s">
        <v>1208</v>
      </c>
      <c r="O141" s="4" t="s">
        <v>582</v>
      </c>
      <c r="P141" s="4" t="s">
        <v>1209</v>
      </c>
      <c r="Q141" s="4"/>
      <c r="R141" s="4"/>
      <c r="S141" s="4"/>
      <c r="T141" s="4"/>
      <c r="U141" s="5">
        <v>46289</v>
      </c>
      <c r="V141" s="4"/>
    </row>
    <row r="142" spans="1:22" x14ac:dyDescent="0.3">
      <c r="A142" s="4">
        <v>141</v>
      </c>
      <c r="B142" s="4">
        <v>2</v>
      </c>
      <c r="C142" s="4" t="s">
        <v>509</v>
      </c>
      <c r="D142" s="4" t="s">
        <v>1210</v>
      </c>
      <c r="E142" s="4" t="s">
        <v>514</v>
      </c>
      <c r="F142" s="4" t="s">
        <v>1211</v>
      </c>
      <c r="G142" s="4" t="s">
        <v>1212</v>
      </c>
      <c r="H142" s="4" t="s">
        <v>538</v>
      </c>
      <c r="I142" s="4" t="s">
        <v>267</v>
      </c>
      <c r="J142" s="4" t="s">
        <v>497</v>
      </c>
      <c r="K142" s="4">
        <v>40</v>
      </c>
      <c r="L142" s="4" t="s">
        <v>1198</v>
      </c>
      <c r="M142" s="4" t="s">
        <v>1213</v>
      </c>
      <c r="N142" s="4" t="s">
        <v>1214</v>
      </c>
      <c r="O142" s="4" t="s">
        <v>548</v>
      </c>
      <c r="P142" s="4" t="s">
        <v>1215</v>
      </c>
      <c r="Q142" s="4"/>
      <c r="R142" s="4"/>
      <c r="S142" s="4"/>
      <c r="T142" s="4"/>
      <c r="U142" s="5">
        <v>46289</v>
      </c>
      <c r="V142" s="4"/>
    </row>
    <row r="143" spans="1:22" x14ac:dyDescent="0.3">
      <c r="A143" s="4">
        <v>142</v>
      </c>
      <c r="B143" s="4">
        <v>3</v>
      </c>
      <c r="C143" s="4" t="s">
        <v>36</v>
      </c>
      <c r="D143" s="4" t="s">
        <v>201</v>
      </c>
      <c r="E143" s="4" t="s">
        <v>468</v>
      </c>
      <c r="F143" s="4" t="s">
        <v>202</v>
      </c>
      <c r="G143" s="4" t="s">
        <v>1216</v>
      </c>
      <c r="H143" s="4" t="s">
        <v>668</v>
      </c>
      <c r="I143" s="4" t="s">
        <v>26</v>
      </c>
      <c r="J143" s="4" t="s">
        <v>497</v>
      </c>
      <c r="K143" s="4">
        <v>20</v>
      </c>
      <c r="L143" s="4" t="s">
        <v>163</v>
      </c>
      <c r="M143" s="4" t="s">
        <v>1217</v>
      </c>
      <c r="N143" s="4" t="s">
        <v>1218</v>
      </c>
      <c r="O143" s="4" t="s">
        <v>582</v>
      </c>
      <c r="P143" s="4" t="s">
        <v>1219</v>
      </c>
      <c r="Q143" s="4"/>
      <c r="R143" s="4"/>
      <c r="S143" s="4"/>
      <c r="T143" s="4"/>
      <c r="U143" s="5">
        <v>46289</v>
      </c>
      <c r="V143" s="4"/>
    </row>
    <row r="144" spans="1:22" x14ac:dyDescent="0.3">
      <c r="A144" s="4">
        <v>143</v>
      </c>
      <c r="B144" s="4">
        <v>3</v>
      </c>
      <c r="C144" s="4" t="s">
        <v>36</v>
      </c>
      <c r="D144" s="4" t="s">
        <v>1220</v>
      </c>
      <c r="E144" s="4" t="s">
        <v>468</v>
      </c>
      <c r="F144" s="4" t="s">
        <v>1221</v>
      </c>
      <c r="G144" s="4" t="s">
        <v>1222</v>
      </c>
      <c r="H144" s="4" t="s">
        <v>538</v>
      </c>
      <c r="I144" s="4" t="s">
        <v>26</v>
      </c>
      <c r="J144" s="4" t="s">
        <v>496</v>
      </c>
      <c r="K144" s="4">
        <v>70</v>
      </c>
      <c r="L144" s="4" t="s">
        <v>163</v>
      </c>
      <c r="M144" s="4" t="s">
        <v>1223</v>
      </c>
      <c r="N144" s="4" t="s">
        <v>1224</v>
      </c>
      <c r="O144" s="4" t="s">
        <v>582</v>
      </c>
      <c r="P144" s="4" t="s">
        <v>1225</v>
      </c>
      <c r="Q144" s="4"/>
      <c r="R144" s="4"/>
      <c r="S144" s="4"/>
      <c r="T144" s="4"/>
      <c r="U144" s="5">
        <v>46289</v>
      </c>
      <c r="V144" s="4"/>
    </row>
    <row r="145" spans="1:22" x14ac:dyDescent="0.3">
      <c r="A145" s="4">
        <v>144</v>
      </c>
      <c r="B145" s="4">
        <v>3</v>
      </c>
      <c r="C145" s="4" t="s">
        <v>36</v>
      </c>
      <c r="D145" s="4" t="s">
        <v>173</v>
      </c>
      <c r="E145" s="4" t="s">
        <v>36</v>
      </c>
      <c r="F145" s="4" t="s">
        <v>1226</v>
      </c>
      <c r="G145" s="4" t="s">
        <v>1227</v>
      </c>
      <c r="H145" s="4" t="s">
        <v>538</v>
      </c>
      <c r="I145" s="4" t="s">
        <v>26</v>
      </c>
      <c r="J145" s="4" t="s">
        <v>497</v>
      </c>
      <c r="K145" s="4">
        <v>20</v>
      </c>
      <c r="L145" s="4" t="s">
        <v>136</v>
      </c>
      <c r="M145" s="4" t="s">
        <v>1228</v>
      </c>
      <c r="N145" s="4" t="s">
        <v>1229</v>
      </c>
      <c r="O145" s="4" t="s">
        <v>1077</v>
      </c>
      <c r="P145" s="4" t="s">
        <v>659</v>
      </c>
      <c r="Q145" s="4"/>
      <c r="R145" s="4"/>
      <c r="S145" s="4"/>
      <c r="T145" s="4"/>
      <c r="U145" s="5">
        <v>46289</v>
      </c>
      <c r="V145" s="4"/>
    </row>
    <row r="146" spans="1:22" x14ac:dyDescent="0.3">
      <c r="A146" s="4">
        <v>145</v>
      </c>
      <c r="B146" s="4">
        <v>3</v>
      </c>
      <c r="C146" s="4" t="s">
        <v>36</v>
      </c>
      <c r="D146" s="4" t="s">
        <v>176</v>
      </c>
      <c r="E146" s="4" t="s">
        <v>36</v>
      </c>
      <c r="F146" s="4" t="s">
        <v>177</v>
      </c>
      <c r="G146" s="4" t="s">
        <v>1230</v>
      </c>
      <c r="H146" s="4" t="s">
        <v>538</v>
      </c>
      <c r="I146" s="4" t="s">
        <v>26</v>
      </c>
      <c r="J146" s="4" t="s">
        <v>497</v>
      </c>
      <c r="K146" s="4">
        <v>35</v>
      </c>
      <c r="L146" s="4" t="s">
        <v>173</v>
      </c>
      <c r="M146" s="4" t="s">
        <v>1231</v>
      </c>
      <c r="N146" s="4" t="s">
        <v>1232</v>
      </c>
      <c r="O146" s="4" t="s">
        <v>1233</v>
      </c>
      <c r="P146" s="4" t="s">
        <v>659</v>
      </c>
      <c r="Q146" s="4"/>
      <c r="R146" s="4"/>
      <c r="S146" s="4"/>
      <c r="T146" s="4"/>
      <c r="U146" s="5">
        <v>46289</v>
      </c>
      <c r="V146" s="4"/>
    </row>
    <row r="147" spans="1:22" x14ac:dyDescent="0.3">
      <c r="A147" s="4">
        <v>146</v>
      </c>
      <c r="B147" s="4">
        <v>3</v>
      </c>
      <c r="C147" s="4" t="s">
        <v>36</v>
      </c>
      <c r="D147" s="4" t="s">
        <v>179</v>
      </c>
      <c r="E147" s="4" t="s">
        <v>36</v>
      </c>
      <c r="F147" s="4" t="s">
        <v>180</v>
      </c>
      <c r="G147" s="4" t="s">
        <v>1234</v>
      </c>
      <c r="H147" s="4" t="s">
        <v>538</v>
      </c>
      <c r="I147" s="4" t="s">
        <v>51</v>
      </c>
      <c r="J147" s="4" t="s">
        <v>497</v>
      </c>
      <c r="K147" s="4">
        <v>50</v>
      </c>
      <c r="L147" s="4" t="s">
        <v>173</v>
      </c>
      <c r="M147" s="4" t="s">
        <v>1235</v>
      </c>
      <c r="N147" s="4" t="s">
        <v>1236</v>
      </c>
      <c r="O147" s="4" t="s">
        <v>1237</v>
      </c>
      <c r="P147" s="4" t="s">
        <v>659</v>
      </c>
      <c r="Q147" s="4"/>
      <c r="R147" s="4"/>
      <c r="S147" s="4"/>
      <c r="T147" s="4"/>
      <c r="U147" s="5">
        <v>46289</v>
      </c>
      <c r="V147" s="4"/>
    </row>
    <row r="148" spans="1:22" x14ac:dyDescent="0.3">
      <c r="A148" s="4">
        <v>147</v>
      </c>
      <c r="B148" s="4">
        <v>3</v>
      </c>
      <c r="C148" s="4" t="s">
        <v>36</v>
      </c>
      <c r="D148" s="4" t="s">
        <v>182</v>
      </c>
      <c r="E148" s="4" t="s">
        <v>36</v>
      </c>
      <c r="F148" s="4" t="s">
        <v>183</v>
      </c>
      <c r="G148" s="4" t="s">
        <v>1238</v>
      </c>
      <c r="H148" s="4" t="s">
        <v>538</v>
      </c>
      <c r="I148" s="4" t="s">
        <v>51</v>
      </c>
      <c r="J148" s="4" t="s">
        <v>497</v>
      </c>
      <c r="K148" s="4">
        <v>40</v>
      </c>
      <c r="L148" s="4" t="s">
        <v>1239</v>
      </c>
      <c r="M148" s="4" t="s">
        <v>1240</v>
      </c>
      <c r="N148" s="4" t="s">
        <v>1241</v>
      </c>
      <c r="O148" s="4" t="s">
        <v>582</v>
      </c>
      <c r="P148" s="4" t="s">
        <v>1242</v>
      </c>
      <c r="Q148" s="4"/>
      <c r="R148" s="4"/>
      <c r="S148" s="4"/>
      <c r="T148" s="4"/>
      <c r="U148" s="5">
        <v>46289</v>
      </c>
      <c r="V148" s="4"/>
    </row>
    <row r="149" spans="1:22" x14ac:dyDescent="0.3">
      <c r="A149" s="4">
        <v>148</v>
      </c>
      <c r="B149" s="4">
        <v>3</v>
      </c>
      <c r="C149" s="4" t="s">
        <v>36</v>
      </c>
      <c r="D149" s="4" t="s">
        <v>185</v>
      </c>
      <c r="E149" s="4" t="s">
        <v>36</v>
      </c>
      <c r="F149" s="4" t="s">
        <v>186</v>
      </c>
      <c r="G149" s="4" t="s">
        <v>1243</v>
      </c>
      <c r="H149" s="4" t="s">
        <v>668</v>
      </c>
      <c r="I149" s="4" t="s">
        <v>51</v>
      </c>
      <c r="J149" s="4" t="s">
        <v>499</v>
      </c>
      <c r="K149" s="4">
        <v>5</v>
      </c>
      <c r="L149" s="4" t="s">
        <v>1239</v>
      </c>
      <c r="M149" s="4"/>
      <c r="N149" s="4" t="s">
        <v>1244</v>
      </c>
      <c r="O149" s="4" t="s">
        <v>659</v>
      </c>
      <c r="P149" s="4" t="s">
        <v>659</v>
      </c>
      <c r="Q149" s="4"/>
      <c r="R149" s="4"/>
      <c r="S149" s="4"/>
      <c r="T149" s="4"/>
      <c r="U149" s="5">
        <v>46289</v>
      </c>
      <c r="V149" s="4"/>
    </row>
    <row r="150" spans="1:22" x14ac:dyDescent="0.3">
      <c r="A150" s="4">
        <v>149</v>
      </c>
      <c r="B150" s="4">
        <v>3</v>
      </c>
      <c r="C150" s="4" t="s">
        <v>36</v>
      </c>
      <c r="D150" s="4" t="s">
        <v>188</v>
      </c>
      <c r="E150" s="4" t="s">
        <v>36</v>
      </c>
      <c r="F150" s="4" t="s">
        <v>189</v>
      </c>
      <c r="G150" s="4" t="s">
        <v>1245</v>
      </c>
      <c r="H150" s="4" t="s">
        <v>668</v>
      </c>
      <c r="I150" s="4" t="s">
        <v>51</v>
      </c>
      <c r="J150" s="4" t="s">
        <v>499</v>
      </c>
      <c r="K150" s="4">
        <v>5</v>
      </c>
      <c r="L150" s="4" t="s">
        <v>173</v>
      </c>
      <c r="M150" s="4"/>
      <c r="N150" s="4" t="s">
        <v>1246</v>
      </c>
      <c r="O150" s="4" t="s">
        <v>659</v>
      </c>
      <c r="P150" s="4" t="s">
        <v>1247</v>
      </c>
      <c r="Q150" s="4"/>
      <c r="R150" s="4"/>
      <c r="S150" s="4"/>
      <c r="T150" s="4"/>
      <c r="U150" s="5">
        <v>46289</v>
      </c>
      <c r="V150" s="4"/>
    </row>
    <row r="151" spans="1:22" x14ac:dyDescent="0.3">
      <c r="A151" s="4">
        <v>150</v>
      </c>
      <c r="B151" s="4">
        <v>3</v>
      </c>
      <c r="C151" s="4" t="s">
        <v>36</v>
      </c>
      <c r="D151" s="4" t="s">
        <v>191</v>
      </c>
      <c r="E151" s="4" t="s">
        <v>36</v>
      </c>
      <c r="F151" s="4" t="s">
        <v>192</v>
      </c>
      <c r="G151" s="4" t="s">
        <v>1248</v>
      </c>
      <c r="H151" s="4" t="s">
        <v>668</v>
      </c>
      <c r="I151" s="4" t="s">
        <v>51</v>
      </c>
      <c r="J151" s="4" t="s">
        <v>499</v>
      </c>
      <c r="K151" s="4">
        <v>0</v>
      </c>
      <c r="L151" s="4" t="s">
        <v>1249</v>
      </c>
      <c r="M151" s="4"/>
      <c r="N151" s="4" t="s">
        <v>1250</v>
      </c>
      <c r="O151" s="4" t="s">
        <v>659</v>
      </c>
      <c r="P151" s="4" t="s">
        <v>659</v>
      </c>
      <c r="Q151" s="4"/>
      <c r="R151" s="4"/>
      <c r="S151" s="4"/>
      <c r="T151" s="4"/>
      <c r="U151" s="5">
        <v>46289</v>
      </c>
      <c r="V151" s="4"/>
    </row>
    <row r="152" spans="1:22" x14ac:dyDescent="0.3">
      <c r="A152" s="4">
        <v>151</v>
      </c>
      <c r="B152" s="4">
        <v>3</v>
      </c>
      <c r="C152" s="4" t="s">
        <v>36</v>
      </c>
      <c r="D152" s="4" t="s">
        <v>194</v>
      </c>
      <c r="E152" s="4" t="s">
        <v>36</v>
      </c>
      <c r="F152" s="4" t="s">
        <v>1251</v>
      </c>
      <c r="G152" s="4" t="s">
        <v>1252</v>
      </c>
      <c r="H152" s="4" t="s">
        <v>668</v>
      </c>
      <c r="I152" s="4" t="s">
        <v>51</v>
      </c>
      <c r="J152" s="4" t="s">
        <v>499</v>
      </c>
      <c r="K152" s="4">
        <v>5</v>
      </c>
      <c r="L152" s="4" t="s">
        <v>191</v>
      </c>
      <c r="M152" s="4"/>
      <c r="N152" s="4" t="s">
        <v>1253</v>
      </c>
      <c r="O152" s="4" t="s">
        <v>659</v>
      </c>
      <c r="P152" s="4" t="s">
        <v>659</v>
      </c>
      <c r="Q152" s="4"/>
      <c r="R152" s="4"/>
      <c r="S152" s="4"/>
      <c r="T152" s="4"/>
      <c r="U152" s="5">
        <v>46289</v>
      </c>
      <c r="V152" s="4"/>
    </row>
    <row r="153" spans="1:22" x14ac:dyDescent="0.3">
      <c r="A153" s="4">
        <v>152</v>
      </c>
      <c r="B153" s="4">
        <v>3</v>
      </c>
      <c r="C153" s="4" t="s">
        <v>36</v>
      </c>
      <c r="D153" s="4" t="s">
        <v>197</v>
      </c>
      <c r="E153" s="4" t="s">
        <v>36</v>
      </c>
      <c r="F153" s="4" t="s">
        <v>198</v>
      </c>
      <c r="G153" s="4" t="s">
        <v>1254</v>
      </c>
      <c r="H153" s="4" t="s">
        <v>668</v>
      </c>
      <c r="I153" s="4" t="s">
        <v>267</v>
      </c>
      <c r="J153" s="4" t="s">
        <v>497</v>
      </c>
      <c r="K153" s="4">
        <v>15</v>
      </c>
      <c r="L153" s="4" t="s">
        <v>1255</v>
      </c>
      <c r="M153" s="4" t="s">
        <v>1256</v>
      </c>
      <c r="N153" s="4" t="s">
        <v>1257</v>
      </c>
      <c r="O153" s="4" t="s">
        <v>582</v>
      </c>
      <c r="P153" s="4" t="s">
        <v>659</v>
      </c>
      <c r="Q153" s="4"/>
      <c r="R153" s="4"/>
      <c r="S153" s="4"/>
      <c r="T153" s="4"/>
      <c r="U153" s="5">
        <v>46289</v>
      </c>
      <c r="V153" s="4"/>
    </row>
    <row r="154" spans="1:22" x14ac:dyDescent="0.3">
      <c r="A154" s="4">
        <v>153</v>
      </c>
      <c r="B154" s="4">
        <v>3</v>
      </c>
      <c r="C154" s="4" t="s">
        <v>36</v>
      </c>
      <c r="D154" s="4" t="s">
        <v>1258</v>
      </c>
      <c r="E154" s="4" t="s">
        <v>468</v>
      </c>
      <c r="F154" s="4" t="s">
        <v>1259</v>
      </c>
      <c r="G154" s="4" t="s">
        <v>1260</v>
      </c>
      <c r="H154" s="4" t="s">
        <v>546</v>
      </c>
      <c r="I154" s="4" t="s">
        <v>267</v>
      </c>
      <c r="J154" s="4" t="s">
        <v>497</v>
      </c>
      <c r="K154" s="4">
        <v>60</v>
      </c>
      <c r="L154" s="4" t="s">
        <v>980</v>
      </c>
      <c r="M154" s="4" t="s">
        <v>1261</v>
      </c>
      <c r="N154" s="4" t="s">
        <v>1262</v>
      </c>
      <c r="O154" s="4" t="s">
        <v>631</v>
      </c>
      <c r="P154" s="4" t="s">
        <v>1263</v>
      </c>
      <c r="Q154" s="4"/>
      <c r="R154" s="4"/>
      <c r="S154" s="4"/>
      <c r="T154" s="4"/>
      <c r="U154" s="5">
        <v>46289</v>
      </c>
      <c r="V154" s="4"/>
    </row>
    <row r="155" spans="1:22" x14ac:dyDescent="0.3">
      <c r="A155" s="4">
        <v>154</v>
      </c>
      <c r="B155" s="4">
        <v>3</v>
      </c>
      <c r="C155" s="4" t="s">
        <v>36</v>
      </c>
      <c r="D155" s="4" t="s">
        <v>1264</v>
      </c>
      <c r="E155" s="4" t="s">
        <v>513</v>
      </c>
      <c r="F155" s="4" t="s">
        <v>1265</v>
      </c>
      <c r="G155" s="4" t="s">
        <v>1266</v>
      </c>
      <c r="H155" s="4" t="s">
        <v>538</v>
      </c>
      <c r="I155" s="4" t="s">
        <v>51</v>
      </c>
      <c r="J155" s="4" t="s">
        <v>497</v>
      </c>
      <c r="K155" s="4">
        <v>40</v>
      </c>
      <c r="L155" s="4"/>
      <c r="M155" s="4" t="s">
        <v>1267</v>
      </c>
      <c r="N155" s="4" t="s">
        <v>1268</v>
      </c>
      <c r="O155" s="4" t="s">
        <v>732</v>
      </c>
      <c r="P155" s="4" t="s">
        <v>659</v>
      </c>
      <c r="Q155" s="4"/>
      <c r="R155" s="4"/>
      <c r="S155" s="4"/>
      <c r="T155" s="4"/>
      <c r="U155" s="5">
        <v>46289</v>
      </c>
      <c r="V155" s="4"/>
    </row>
    <row r="156" spans="1:22" x14ac:dyDescent="0.3">
      <c r="A156" s="4">
        <v>155</v>
      </c>
      <c r="B156" s="4">
        <v>3</v>
      </c>
      <c r="C156" s="4" t="s">
        <v>36</v>
      </c>
      <c r="D156" s="4" t="s">
        <v>1269</v>
      </c>
      <c r="E156" s="4" t="s">
        <v>513</v>
      </c>
      <c r="F156" s="4" t="s">
        <v>1270</v>
      </c>
      <c r="G156" s="4" t="s">
        <v>730</v>
      </c>
      <c r="H156" s="4" t="s">
        <v>538</v>
      </c>
      <c r="I156" s="4" t="s">
        <v>51</v>
      </c>
      <c r="J156" s="4" t="s">
        <v>499</v>
      </c>
      <c r="K156" s="4">
        <v>10</v>
      </c>
      <c r="L156" s="4" t="s">
        <v>191</v>
      </c>
      <c r="M156" s="4"/>
      <c r="N156" s="4" t="s">
        <v>1271</v>
      </c>
      <c r="O156" s="4" t="s">
        <v>732</v>
      </c>
      <c r="P156" s="4" t="s">
        <v>659</v>
      </c>
      <c r="Q156" s="4"/>
      <c r="R156" s="4"/>
      <c r="S156" s="4"/>
      <c r="T156" s="4"/>
      <c r="U156" s="5">
        <v>46289</v>
      </c>
      <c r="V156" s="4"/>
    </row>
    <row r="157" spans="1:22" x14ac:dyDescent="0.3">
      <c r="A157" s="4">
        <v>156</v>
      </c>
      <c r="B157" s="4">
        <v>4</v>
      </c>
      <c r="C157" s="4" t="s">
        <v>48</v>
      </c>
      <c r="D157" s="4" t="s">
        <v>237</v>
      </c>
      <c r="E157" s="4" t="s">
        <v>48</v>
      </c>
      <c r="F157" s="4" t="s">
        <v>238</v>
      </c>
      <c r="G157" s="4" t="s">
        <v>1272</v>
      </c>
      <c r="H157" s="4" t="s">
        <v>538</v>
      </c>
      <c r="I157" s="4" t="s">
        <v>26</v>
      </c>
      <c r="J157" s="4" t="s">
        <v>497</v>
      </c>
      <c r="K157" s="4">
        <v>40</v>
      </c>
      <c r="L157" s="4" t="s">
        <v>1013</v>
      </c>
      <c r="M157" s="4" t="s">
        <v>1273</v>
      </c>
      <c r="N157" s="4" t="s">
        <v>1274</v>
      </c>
      <c r="O157" s="4" t="s">
        <v>1275</v>
      </c>
      <c r="P157" s="4" t="s">
        <v>659</v>
      </c>
      <c r="Q157" s="4"/>
      <c r="R157" s="4"/>
      <c r="S157" s="4"/>
      <c r="T157" s="4"/>
      <c r="U157" s="5">
        <v>46289</v>
      </c>
      <c r="V157" s="4"/>
    </row>
    <row r="158" spans="1:22" x14ac:dyDescent="0.3">
      <c r="A158" s="4">
        <v>157</v>
      </c>
      <c r="B158" s="4">
        <v>4</v>
      </c>
      <c r="C158" s="4" t="s">
        <v>48</v>
      </c>
      <c r="D158" s="4" t="s">
        <v>249</v>
      </c>
      <c r="E158" s="4" t="s">
        <v>48</v>
      </c>
      <c r="F158" s="4" t="s">
        <v>250</v>
      </c>
      <c r="G158" s="4" t="s">
        <v>1276</v>
      </c>
      <c r="H158" s="4" t="s">
        <v>668</v>
      </c>
      <c r="I158" s="4" t="s">
        <v>51</v>
      </c>
      <c r="J158" s="4" t="s">
        <v>499</v>
      </c>
      <c r="K158" s="4">
        <v>0</v>
      </c>
      <c r="L158" s="4" t="s">
        <v>1277</v>
      </c>
      <c r="M158" s="4"/>
      <c r="N158" s="4" t="s">
        <v>1050</v>
      </c>
      <c r="O158" s="4" t="s">
        <v>659</v>
      </c>
      <c r="P158" s="4" t="s">
        <v>659</v>
      </c>
      <c r="Q158" s="4"/>
      <c r="R158" s="4"/>
      <c r="S158" s="4"/>
      <c r="T158" s="4"/>
      <c r="U158" s="5">
        <v>46289</v>
      </c>
      <c r="V158" s="4"/>
    </row>
    <row r="159" spans="1:22" x14ac:dyDescent="0.3">
      <c r="A159" s="4">
        <v>158</v>
      </c>
      <c r="B159" s="4">
        <v>4</v>
      </c>
      <c r="C159" s="4" t="s">
        <v>48</v>
      </c>
      <c r="D159" s="4" t="s">
        <v>240</v>
      </c>
      <c r="E159" s="4" t="s">
        <v>48</v>
      </c>
      <c r="F159" s="4" t="s">
        <v>241</v>
      </c>
      <c r="G159" s="4" t="s">
        <v>1278</v>
      </c>
      <c r="H159" s="4" t="s">
        <v>538</v>
      </c>
      <c r="I159" s="4" t="s">
        <v>26</v>
      </c>
      <c r="J159" s="4" t="s">
        <v>499</v>
      </c>
      <c r="K159" s="4">
        <v>0</v>
      </c>
      <c r="L159" s="4" t="s">
        <v>1279</v>
      </c>
      <c r="M159" s="4"/>
      <c r="N159" s="4" t="s">
        <v>1280</v>
      </c>
      <c r="O159" s="4" t="s">
        <v>659</v>
      </c>
      <c r="P159" s="4" t="s">
        <v>659</v>
      </c>
      <c r="Q159" s="4"/>
      <c r="R159" s="4"/>
      <c r="S159" s="4"/>
      <c r="T159" s="4"/>
      <c r="U159" s="5">
        <v>46289</v>
      </c>
      <c r="V159" s="4"/>
    </row>
    <row r="160" spans="1:22" x14ac:dyDescent="0.3">
      <c r="A160" s="4">
        <v>159</v>
      </c>
      <c r="B160" s="4">
        <v>4</v>
      </c>
      <c r="C160" s="4" t="s">
        <v>48</v>
      </c>
      <c r="D160" s="4" t="s">
        <v>243</v>
      </c>
      <c r="E160" s="4" t="s">
        <v>48</v>
      </c>
      <c r="F160" s="4" t="s">
        <v>244</v>
      </c>
      <c r="G160" s="4" t="s">
        <v>1281</v>
      </c>
      <c r="H160" s="4" t="s">
        <v>538</v>
      </c>
      <c r="I160" s="4" t="s">
        <v>26</v>
      </c>
      <c r="J160" s="4" t="s">
        <v>499</v>
      </c>
      <c r="K160" s="4">
        <v>0</v>
      </c>
      <c r="L160" s="4" t="s">
        <v>240</v>
      </c>
      <c r="M160" s="4" t="s">
        <v>1282</v>
      </c>
      <c r="N160" s="4" t="s">
        <v>1283</v>
      </c>
      <c r="O160" s="4" t="s">
        <v>659</v>
      </c>
      <c r="P160" s="4" t="s">
        <v>1284</v>
      </c>
      <c r="Q160" s="4"/>
      <c r="R160" s="4"/>
      <c r="S160" s="4"/>
      <c r="T160" s="4"/>
      <c r="U160" s="5">
        <v>46289</v>
      </c>
      <c r="V160" s="4"/>
    </row>
    <row r="161" spans="1:22" x14ac:dyDescent="0.3">
      <c r="A161" s="4">
        <v>160</v>
      </c>
      <c r="B161" s="4">
        <v>4</v>
      </c>
      <c r="C161" s="4" t="s">
        <v>48</v>
      </c>
      <c r="D161" s="4" t="s">
        <v>246</v>
      </c>
      <c r="E161" s="4" t="s">
        <v>48</v>
      </c>
      <c r="F161" s="4" t="s">
        <v>247</v>
      </c>
      <c r="G161" s="4" t="s">
        <v>1285</v>
      </c>
      <c r="H161" s="4" t="s">
        <v>538</v>
      </c>
      <c r="I161" s="4" t="s">
        <v>26</v>
      </c>
      <c r="J161" s="4" t="s">
        <v>497</v>
      </c>
      <c r="K161" s="4">
        <v>15</v>
      </c>
      <c r="L161" s="4" t="s">
        <v>1286</v>
      </c>
      <c r="M161" s="4" t="s">
        <v>1287</v>
      </c>
      <c r="N161" s="4" t="s">
        <v>1288</v>
      </c>
      <c r="O161" s="4" t="s">
        <v>646</v>
      </c>
      <c r="P161" s="4" t="s">
        <v>659</v>
      </c>
      <c r="Q161" s="4"/>
      <c r="R161" s="4"/>
      <c r="S161" s="4"/>
      <c r="T161" s="4"/>
      <c r="U161" s="5">
        <v>46289</v>
      </c>
      <c r="V161" s="4"/>
    </row>
    <row r="162" spans="1:22" x14ac:dyDescent="0.3">
      <c r="A162" s="4">
        <v>161</v>
      </c>
      <c r="B162" s="4">
        <v>4</v>
      </c>
      <c r="C162" s="4" t="s">
        <v>48</v>
      </c>
      <c r="D162" s="4" t="s">
        <v>252</v>
      </c>
      <c r="E162" s="4" t="s">
        <v>48</v>
      </c>
      <c r="F162" s="4" t="s">
        <v>253</v>
      </c>
      <c r="G162" s="4" t="s">
        <v>1289</v>
      </c>
      <c r="H162" s="4" t="s">
        <v>668</v>
      </c>
      <c r="I162" s="4" t="s">
        <v>51</v>
      </c>
      <c r="J162" s="4" t="s">
        <v>499</v>
      </c>
      <c r="K162" s="4">
        <v>0</v>
      </c>
      <c r="L162" s="4" t="s">
        <v>243</v>
      </c>
      <c r="M162" s="4"/>
      <c r="N162" s="4" t="s">
        <v>1050</v>
      </c>
      <c r="O162" s="4" t="s">
        <v>659</v>
      </c>
      <c r="P162" s="4" t="s">
        <v>659</v>
      </c>
      <c r="Q162" s="4"/>
      <c r="R162" s="4"/>
      <c r="S162" s="4"/>
      <c r="T162" s="4"/>
      <c r="U162" s="5">
        <v>46289</v>
      </c>
      <c r="V162" s="4"/>
    </row>
    <row r="163" spans="1:22" x14ac:dyDescent="0.3">
      <c r="A163" s="4">
        <v>162</v>
      </c>
      <c r="B163" s="4">
        <v>4</v>
      </c>
      <c r="C163" s="4" t="s">
        <v>48</v>
      </c>
      <c r="D163" s="4" t="s">
        <v>255</v>
      </c>
      <c r="E163" s="4" t="s">
        <v>48</v>
      </c>
      <c r="F163" s="4" t="s">
        <v>256</v>
      </c>
      <c r="G163" s="4" t="s">
        <v>1290</v>
      </c>
      <c r="H163" s="4" t="s">
        <v>538</v>
      </c>
      <c r="I163" s="4" t="s">
        <v>51</v>
      </c>
      <c r="J163" s="4" t="s">
        <v>499</v>
      </c>
      <c r="K163" s="4">
        <v>0</v>
      </c>
      <c r="L163" s="4" t="s">
        <v>246</v>
      </c>
      <c r="M163" s="4"/>
      <c r="N163" s="4" t="s">
        <v>1050</v>
      </c>
      <c r="O163" s="4" t="s">
        <v>659</v>
      </c>
      <c r="P163" s="4" t="s">
        <v>659</v>
      </c>
      <c r="Q163" s="4"/>
      <c r="R163" s="4"/>
      <c r="S163" s="4"/>
      <c r="T163" s="4"/>
      <c r="U163" s="5">
        <v>46289</v>
      </c>
      <c r="V163" s="4"/>
    </row>
    <row r="164" spans="1:22" x14ac:dyDescent="0.3">
      <c r="A164" s="4">
        <v>163</v>
      </c>
      <c r="B164" s="4">
        <v>4</v>
      </c>
      <c r="C164" s="4" t="s">
        <v>48</v>
      </c>
      <c r="D164" s="4" t="s">
        <v>258</v>
      </c>
      <c r="E164" s="4" t="s">
        <v>48</v>
      </c>
      <c r="F164" s="4" t="s">
        <v>259</v>
      </c>
      <c r="G164" s="4" t="s">
        <v>1291</v>
      </c>
      <c r="H164" s="4" t="s">
        <v>538</v>
      </c>
      <c r="I164" s="4" t="s">
        <v>51</v>
      </c>
      <c r="J164" s="4" t="s">
        <v>497</v>
      </c>
      <c r="K164" s="4">
        <v>40</v>
      </c>
      <c r="L164" s="4" t="s">
        <v>243</v>
      </c>
      <c r="M164" s="4" t="s">
        <v>1292</v>
      </c>
      <c r="N164" s="4" t="s">
        <v>1293</v>
      </c>
      <c r="O164" s="4" t="s">
        <v>582</v>
      </c>
      <c r="P164" s="4" t="s">
        <v>659</v>
      </c>
      <c r="Q164" s="4"/>
      <c r="R164" s="4"/>
      <c r="S164" s="4"/>
      <c r="T164" s="4"/>
      <c r="U164" s="5">
        <v>46289</v>
      </c>
      <c r="V164" s="4"/>
    </row>
    <row r="165" spans="1:22" x14ac:dyDescent="0.3">
      <c r="A165" s="4">
        <v>164</v>
      </c>
      <c r="B165" s="4">
        <v>4</v>
      </c>
      <c r="C165" s="4" t="s">
        <v>48</v>
      </c>
      <c r="D165" s="4" t="s">
        <v>261</v>
      </c>
      <c r="E165" s="4" t="s">
        <v>48</v>
      </c>
      <c r="F165" s="4" t="s">
        <v>262</v>
      </c>
      <c r="G165" s="4" t="s">
        <v>1294</v>
      </c>
      <c r="H165" s="4" t="s">
        <v>538</v>
      </c>
      <c r="I165" s="4" t="s">
        <v>26</v>
      </c>
      <c r="J165" s="4" t="s">
        <v>497</v>
      </c>
      <c r="K165" s="4">
        <v>30</v>
      </c>
      <c r="L165" s="4" t="s">
        <v>822</v>
      </c>
      <c r="M165" s="4" t="s">
        <v>1295</v>
      </c>
      <c r="N165" s="4" t="s">
        <v>1296</v>
      </c>
      <c r="O165" s="4" t="s">
        <v>582</v>
      </c>
      <c r="P165" s="4" t="s">
        <v>1297</v>
      </c>
      <c r="Q165" s="4"/>
      <c r="R165" s="4"/>
      <c r="S165" s="4"/>
      <c r="T165" s="4"/>
      <c r="U165" s="5">
        <v>46289</v>
      </c>
      <c r="V165" s="4"/>
    </row>
    <row r="166" spans="1:22" x14ac:dyDescent="0.3">
      <c r="A166" s="4">
        <v>165</v>
      </c>
      <c r="B166" s="4">
        <v>4</v>
      </c>
      <c r="C166" s="4" t="s">
        <v>48</v>
      </c>
      <c r="D166" s="4" t="s">
        <v>1298</v>
      </c>
      <c r="E166" s="4" t="s">
        <v>48</v>
      </c>
      <c r="F166" s="4" t="s">
        <v>1299</v>
      </c>
      <c r="G166" s="4" t="s">
        <v>1300</v>
      </c>
      <c r="H166" s="4" t="s">
        <v>538</v>
      </c>
      <c r="I166" s="4" t="s">
        <v>267</v>
      </c>
      <c r="J166" s="4" t="s">
        <v>499</v>
      </c>
      <c r="K166" s="4">
        <v>0</v>
      </c>
      <c r="L166" s="4" t="s">
        <v>1013</v>
      </c>
      <c r="M166" s="4"/>
      <c r="N166" s="4" t="s">
        <v>1050</v>
      </c>
      <c r="O166" s="4" t="s">
        <v>659</v>
      </c>
      <c r="P166" s="4" t="s">
        <v>659</v>
      </c>
      <c r="Q166" s="4"/>
      <c r="R166" s="4"/>
      <c r="S166" s="4"/>
      <c r="T166" s="4"/>
      <c r="U166" s="5">
        <v>46289</v>
      </c>
      <c r="V166" s="4"/>
    </row>
    <row r="167" spans="1:22" x14ac:dyDescent="0.3">
      <c r="A167" s="4">
        <v>166</v>
      </c>
      <c r="B167" s="4">
        <v>4</v>
      </c>
      <c r="C167" s="4" t="s">
        <v>48</v>
      </c>
      <c r="D167" s="4" t="s">
        <v>1301</v>
      </c>
      <c r="E167" s="4" t="s">
        <v>48</v>
      </c>
      <c r="F167" s="4" t="s">
        <v>1302</v>
      </c>
      <c r="G167" s="4" t="s">
        <v>1303</v>
      </c>
      <c r="H167" s="4" t="s">
        <v>538</v>
      </c>
      <c r="I167" s="4" t="s">
        <v>267</v>
      </c>
      <c r="J167" s="4" t="s">
        <v>499</v>
      </c>
      <c r="K167" s="4">
        <v>0</v>
      </c>
      <c r="L167" s="4" t="s">
        <v>110</v>
      </c>
      <c r="M167" s="4"/>
      <c r="N167" s="4" t="s">
        <v>1050</v>
      </c>
      <c r="O167" s="4" t="s">
        <v>659</v>
      </c>
      <c r="P167" s="4" t="s">
        <v>659</v>
      </c>
      <c r="Q167" s="4"/>
      <c r="R167" s="4"/>
      <c r="S167" s="4"/>
      <c r="T167" s="4"/>
      <c r="U167" s="5">
        <v>46289</v>
      </c>
      <c r="V167" s="4"/>
    </row>
    <row r="168" spans="1:22" x14ac:dyDescent="0.3">
      <c r="A168" s="4">
        <v>167</v>
      </c>
      <c r="B168" s="4">
        <v>4</v>
      </c>
      <c r="C168" s="4" t="s">
        <v>48</v>
      </c>
      <c r="D168" s="4" t="s">
        <v>1304</v>
      </c>
      <c r="E168" s="4" t="s">
        <v>36</v>
      </c>
      <c r="F168" s="4" t="s">
        <v>1305</v>
      </c>
      <c r="G168" s="4" t="s">
        <v>1306</v>
      </c>
      <c r="H168" s="4" t="s">
        <v>538</v>
      </c>
      <c r="I168" s="4" t="s">
        <v>51</v>
      </c>
      <c r="J168" s="4" t="s">
        <v>499</v>
      </c>
      <c r="K168" s="4">
        <v>0</v>
      </c>
      <c r="L168" s="4" t="s">
        <v>1307</v>
      </c>
      <c r="M168" s="4"/>
      <c r="N168" s="4" t="s">
        <v>1308</v>
      </c>
      <c r="O168" s="4" t="s">
        <v>659</v>
      </c>
      <c r="P168" s="4" t="s">
        <v>659</v>
      </c>
      <c r="Q168" s="4"/>
      <c r="R168" s="4"/>
      <c r="S168" s="4"/>
      <c r="T168" s="4"/>
      <c r="U168" s="5">
        <v>46289</v>
      </c>
      <c r="V168" s="4"/>
    </row>
    <row r="169" spans="1:22" x14ac:dyDescent="0.3">
      <c r="A169" s="4">
        <v>168</v>
      </c>
      <c r="B169" s="4">
        <v>4</v>
      </c>
      <c r="C169" s="4" t="s">
        <v>48</v>
      </c>
      <c r="D169" s="4" t="s">
        <v>1309</v>
      </c>
      <c r="E169" s="4" t="s">
        <v>507</v>
      </c>
      <c r="F169" s="4" t="s">
        <v>1310</v>
      </c>
      <c r="G169" s="4" t="s">
        <v>1311</v>
      </c>
      <c r="H169" s="4" t="s">
        <v>538</v>
      </c>
      <c r="I169" s="4" t="s">
        <v>26</v>
      </c>
      <c r="J169" s="4" t="s">
        <v>497</v>
      </c>
      <c r="K169" s="4">
        <v>30</v>
      </c>
      <c r="L169" s="4"/>
      <c r="M169" s="4" t="s">
        <v>1312</v>
      </c>
      <c r="N169" s="4" t="s">
        <v>1313</v>
      </c>
      <c r="O169" s="4" t="s">
        <v>870</v>
      </c>
      <c r="P169" s="4" t="s">
        <v>1314</v>
      </c>
      <c r="Q169" s="4"/>
      <c r="R169" s="4"/>
      <c r="S169" s="4"/>
      <c r="T169" s="4"/>
      <c r="U169" s="5">
        <v>46289</v>
      </c>
      <c r="V169" s="4"/>
    </row>
    <row r="170" spans="1:22" x14ac:dyDescent="0.3">
      <c r="A170" s="4">
        <v>169</v>
      </c>
      <c r="B170" s="4">
        <v>4</v>
      </c>
      <c r="C170" s="4" t="s">
        <v>48</v>
      </c>
      <c r="D170" s="4" t="s">
        <v>1315</v>
      </c>
      <c r="E170" s="4" t="s">
        <v>507</v>
      </c>
      <c r="F170" s="4" t="s">
        <v>1316</v>
      </c>
      <c r="G170" s="4" t="s">
        <v>1317</v>
      </c>
      <c r="H170" s="4" t="s">
        <v>538</v>
      </c>
      <c r="I170" s="4" t="s">
        <v>26</v>
      </c>
      <c r="J170" s="4" t="s">
        <v>497</v>
      </c>
      <c r="K170" s="4">
        <v>40</v>
      </c>
      <c r="L170" s="4" t="s">
        <v>1309</v>
      </c>
      <c r="M170" s="4" t="s">
        <v>1318</v>
      </c>
      <c r="N170" s="4" t="s">
        <v>1319</v>
      </c>
      <c r="O170" s="4" t="s">
        <v>870</v>
      </c>
      <c r="P170" s="4" t="s">
        <v>659</v>
      </c>
      <c r="Q170" s="4"/>
      <c r="R170" s="4"/>
      <c r="S170" s="4"/>
      <c r="T170" s="4"/>
      <c r="U170" s="5">
        <v>46289</v>
      </c>
      <c r="V170" s="4"/>
    </row>
    <row r="171" spans="1:22" x14ac:dyDescent="0.3">
      <c r="A171" s="4">
        <v>170</v>
      </c>
      <c r="B171" s="4">
        <v>4</v>
      </c>
      <c r="C171" s="4" t="s">
        <v>48</v>
      </c>
      <c r="D171" s="4" t="s">
        <v>1320</v>
      </c>
      <c r="E171" s="4" t="s">
        <v>507</v>
      </c>
      <c r="F171" s="4" t="s">
        <v>1321</v>
      </c>
      <c r="G171" s="4" t="s">
        <v>1322</v>
      </c>
      <c r="H171" s="4" t="s">
        <v>668</v>
      </c>
      <c r="I171" s="4" t="s">
        <v>51</v>
      </c>
      <c r="J171" s="4" t="s">
        <v>499</v>
      </c>
      <c r="K171" s="4">
        <v>5</v>
      </c>
      <c r="L171" s="4" t="s">
        <v>1315</v>
      </c>
      <c r="M171" s="4"/>
      <c r="N171" s="4" t="s">
        <v>1050</v>
      </c>
      <c r="O171" s="4" t="s">
        <v>870</v>
      </c>
      <c r="P171" s="4" t="s">
        <v>659</v>
      </c>
      <c r="Q171" s="4"/>
      <c r="R171" s="4"/>
      <c r="S171" s="4"/>
      <c r="T171" s="4"/>
      <c r="U171" s="5">
        <v>46289</v>
      </c>
      <c r="V171" s="4"/>
    </row>
    <row r="172" spans="1:22" x14ac:dyDescent="0.3">
      <c r="A172" s="4">
        <v>171</v>
      </c>
      <c r="B172" s="4">
        <v>4</v>
      </c>
      <c r="C172" s="4" t="s">
        <v>48</v>
      </c>
      <c r="D172" s="4" t="s">
        <v>1323</v>
      </c>
      <c r="E172" s="4" t="s">
        <v>507</v>
      </c>
      <c r="F172" s="4" t="s">
        <v>1324</v>
      </c>
      <c r="G172" s="4" t="s">
        <v>1325</v>
      </c>
      <c r="H172" s="4" t="s">
        <v>538</v>
      </c>
      <c r="I172" s="4" t="s">
        <v>51</v>
      </c>
      <c r="J172" s="4" t="s">
        <v>497</v>
      </c>
      <c r="K172" s="4">
        <v>50</v>
      </c>
      <c r="L172" s="4" t="s">
        <v>1309</v>
      </c>
      <c r="M172" s="4" t="s">
        <v>1326</v>
      </c>
      <c r="N172" s="4" t="s">
        <v>1327</v>
      </c>
      <c r="O172" s="4" t="s">
        <v>732</v>
      </c>
      <c r="P172" s="4" t="s">
        <v>1328</v>
      </c>
      <c r="Q172" s="4"/>
      <c r="R172" s="4"/>
      <c r="S172" s="4"/>
      <c r="T172" s="4"/>
      <c r="U172" s="5">
        <v>46289</v>
      </c>
      <c r="V172" s="4"/>
    </row>
    <row r="173" spans="1:22" x14ac:dyDescent="0.3">
      <c r="A173" s="4">
        <v>172</v>
      </c>
      <c r="B173" s="4">
        <v>4</v>
      </c>
      <c r="C173" s="4" t="s">
        <v>48</v>
      </c>
      <c r="D173" s="4" t="s">
        <v>1329</v>
      </c>
      <c r="E173" s="4" t="s">
        <v>513</v>
      </c>
      <c r="F173" s="4" t="s">
        <v>1330</v>
      </c>
      <c r="G173" s="4" t="s">
        <v>730</v>
      </c>
      <c r="H173" s="4" t="s">
        <v>538</v>
      </c>
      <c r="I173" s="4" t="s">
        <v>51</v>
      </c>
      <c r="J173" s="4" t="s">
        <v>497</v>
      </c>
      <c r="K173" s="4">
        <v>50</v>
      </c>
      <c r="L173" s="4" t="s">
        <v>1323</v>
      </c>
      <c r="M173" s="4" t="s">
        <v>1331</v>
      </c>
      <c r="N173" s="4" t="s">
        <v>1332</v>
      </c>
      <c r="O173" s="4" t="s">
        <v>732</v>
      </c>
      <c r="P173" s="4" t="s">
        <v>659</v>
      </c>
      <c r="Q173" s="4"/>
      <c r="R173" s="4"/>
      <c r="S173" s="4"/>
      <c r="T173" s="4"/>
      <c r="U173" s="5">
        <v>46289</v>
      </c>
      <c r="V173" s="4"/>
    </row>
    <row r="174" spans="1:22" x14ac:dyDescent="0.3">
      <c r="A174" s="4">
        <v>173</v>
      </c>
      <c r="B174" s="4">
        <v>4</v>
      </c>
      <c r="C174" s="4" t="s">
        <v>48</v>
      </c>
      <c r="D174" s="4" t="s">
        <v>1333</v>
      </c>
      <c r="E174" s="4" t="s">
        <v>507</v>
      </c>
      <c r="F174" s="4" t="s">
        <v>1334</v>
      </c>
      <c r="G174" s="4" t="s">
        <v>1335</v>
      </c>
      <c r="H174" s="4" t="s">
        <v>538</v>
      </c>
      <c r="I174" s="4" t="s">
        <v>267</v>
      </c>
      <c r="J174" s="4" t="s">
        <v>499</v>
      </c>
      <c r="K174" s="4">
        <v>0</v>
      </c>
      <c r="L174" s="4" t="s">
        <v>1309</v>
      </c>
      <c r="M174" s="4"/>
      <c r="N174" s="4" t="s">
        <v>1050</v>
      </c>
      <c r="O174" s="4" t="s">
        <v>659</v>
      </c>
      <c r="P174" s="4" t="s">
        <v>659</v>
      </c>
      <c r="Q174" s="4"/>
      <c r="R174" s="4"/>
      <c r="S174" s="4"/>
      <c r="T174" s="4"/>
      <c r="U174" s="5">
        <v>46289</v>
      </c>
      <c r="V174" s="4"/>
    </row>
    <row r="175" spans="1:22" x14ac:dyDescent="0.3">
      <c r="A175" s="4">
        <v>174</v>
      </c>
      <c r="B175" s="4">
        <v>4</v>
      </c>
      <c r="C175" s="4" t="s">
        <v>48</v>
      </c>
      <c r="D175" s="4" t="s">
        <v>1336</v>
      </c>
      <c r="E175" s="4" t="s">
        <v>48</v>
      </c>
      <c r="F175" s="4" t="s">
        <v>1337</v>
      </c>
      <c r="G175" s="4" t="s">
        <v>1338</v>
      </c>
      <c r="H175" s="4" t="s">
        <v>538</v>
      </c>
      <c r="I175" s="4" t="s">
        <v>267</v>
      </c>
      <c r="J175" s="4" t="s">
        <v>499</v>
      </c>
      <c r="K175" s="4">
        <v>0</v>
      </c>
      <c r="L175" s="4" t="s">
        <v>240</v>
      </c>
      <c r="M175" s="4"/>
      <c r="N175" s="4" t="s">
        <v>1339</v>
      </c>
      <c r="O175" s="4" t="s">
        <v>659</v>
      </c>
      <c r="P175" s="4" t="s">
        <v>659</v>
      </c>
      <c r="Q175" s="4"/>
      <c r="R175" s="4"/>
      <c r="S175" s="4"/>
      <c r="T175" s="4"/>
      <c r="U175" s="5">
        <v>46289</v>
      </c>
      <c r="V175" s="4"/>
    </row>
    <row r="176" spans="1:22" x14ac:dyDescent="0.3">
      <c r="A176" s="4">
        <v>175</v>
      </c>
      <c r="B176" s="4">
        <v>4</v>
      </c>
      <c r="C176" s="4" t="s">
        <v>48</v>
      </c>
      <c r="D176" s="4" t="s">
        <v>1340</v>
      </c>
      <c r="E176" s="4" t="s">
        <v>48</v>
      </c>
      <c r="F176" s="4" t="s">
        <v>1341</v>
      </c>
      <c r="G176" s="4" t="s">
        <v>1342</v>
      </c>
      <c r="H176" s="4" t="s">
        <v>538</v>
      </c>
      <c r="I176" s="4" t="s">
        <v>267</v>
      </c>
      <c r="J176" s="4" t="s">
        <v>499</v>
      </c>
      <c r="K176" s="4">
        <v>0</v>
      </c>
      <c r="L176" s="4" t="s">
        <v>240</v>
      </c>
      <c r="M176" s="4"/>
      <c r="N176" s="4" t="s">
        <v>1343</v>
      </c>
      <c r="O176" s="4" t="s">
        <v>659</v>
      </c>
      <c r="P176" s="4" t="s">
        <v>659</v>
      </c>
      <c r="Q176" s="4"/>
      <c r="R176" s="4"/>
      <c r="S176" s="4"/>
      <c r="T176" s="4"/>
      <c r="U176" s="5">
        <v>46289</v>
      </c>
      <c r="V176" s="4"/>
    </row>
    <row r="177" spans="1:22" x14ac:dyDescent="0.3">
      <c r="A177" s="4">
        <v>176</v>
      </c>
      <c r="B177" s="4">
        <v>4</v>
      </c>
      <c r="C177" s="4" t="s">
        <v>48</v>
      </c>
      <c r="D177" s="4" t="s">
        <v>1344</v>
      </c>
      <c r="E177" s="4" t="s">
        <v>513</v>
      </c>
      <c r="F177" s="4" t="s">
        <v>1345</v>
      </c>
      <c r="G177" s="4" t="s">
        <v>1346</v>
      </c>
      <c r="H177" s="4" t="s">
        <v>668</v>
      </c>
      <c r="I177" s="4" t="s">
        <v>267</v>
      </c>
      <c r="J177" s="4" t="s">
        <v>499</v>
      </c>
      <c r="K177" s="4">
        <v>0</v>
      </c>
      <c r="L177" s="4" t="s">
        <v>246</v>
      </c>
      <c r="M177" s="4"/>
      <c r="N177" s="4" t="s">
        <v>1271</v>
      </c>
      <c r="O177" s="4" t="s">
        <v>732</v>
      </c>
      <c r="P177" s="4" t="s">
        <v>659</v>
      </c>
      <c r="Q177" s="4"/>
      <c r="R177" s="4"/>
      <c r="S177" s="4"/>
      <c r="T177" s="4"/>
      <c r="U177" s="5">
        <v>46289</v>
      </c>
      <c r="V177" s="4"/>
    </row>
    <row r="178" spans="1:22" x14ac:dyDescent="0.3">
      <c r="A178" s="4">
        <v>177</v>
      </c>
      <c r="B178" s="4">
        <v>5</v>
      </c>
      <c r="C178" s="4" t="s">
        <v>512</v>
      </c>
      <c r="D178" s="4" t="s">
        <v>1347</v>
      </c>
      <c r="E178" s="4" t="s">
        <v>85</v>
      </c>
      <c r="F178" s="4" t="s">
        <v>1348</v>
      </c>
      <c r="G178" s="4" t="s">
        <v>1349</v>
      </c>
      <c r="H178" s="4" t="s">
        <v>538</v>
      </c>
      <c r="I178" s="4" t="s">
        <v>51</v>
      </c>
      <c r="J178" s="4" t="s">
        <v>497</v>
      </c>
      <c r="K178" s="4">
        <v>30</v>
      </c>
      <c r="L178" s="4" t="s">
        <v>89</v>
      </c>
      <c r="M178" s="4" t="s">
        <v>1350</v>
      </c>
      <c r="N178" s="4" t="s">
        <v>1351</v>
      </c>
      <c r="O178" s="4" t="s">
        <v>604</v>
      </c>
      <c r="P178" s="4" t="s">
        <v>659</v>
      </c>
      <c r="Q178" s="4"/>
      <c r="R178" s="4"/>
      <c r="S178" s="4"/>
      <c r="T178" s="4"/>
      <c r="U178" s="5">
        <v>46289</v>
      </c>
      <c r="V178" s="4"/>
    </row>
    <row r="179" spans="1:22" x14ac:dyDescent="0.3">
      <c r="A179" s="4">
        <v>178</v>
      </c>
      <c r="B179" s="4">
        <v>5</v>
      </c>
      <c r="C179" s="4" t="s">
        <v>512</v>
      </c>
      <c r="D179" s="4" t="s">
        <v>1352</v>
      </c>
      <c r="E179" s="4" t="s">
        <v>85</v>
      </c>
      <c r="F179" s="4" t="s">
        <v>1353</v>
      </c>
      <c r="G179" s="4" t="s">
        <v>1354</v>
      </c>
      <c r="H179" s="4" t="s">
        <v>538</v>
      </c>
      <c r="I179" s="4" t="s">
        <v>51</v>
      </c>
      <c r="J179" s="4" t="s">
        <v>497</v>
      </c>
      <c r="K179" s="4">
        <v>40</v>
      </c>
      <c r="L179" s="4" t="s">
        <v>1347</v>
      </c>
      <c r="M179" s="4" t="s">
        <v>1355</v>
      </c>
      <c r="N179" s="4" t="s">
        <v>1356</v>
      </c>
      <c r="O179" s="4" t="s">
        <v>604</v>
      </c>
      <c r="P179" s="4" t="s">
        <v>1357</v>
      </c>
      <c r="Q179" s="4"/>
      <c r="R179" s="4"/>
      <c r="S179" s="4"/>
      <c r="T179" s="4"/>
      <c r="U179" s="5">
        <v>46289</v>
      </c>
      <c r="V179" s="4"/>
    </row>
    <row r="180" spans="1:22" x14ac:dyDescent="0.3">
      <c r="A180" s="4">
        <v>179</v>
      </c>
      <c r="B180" s="4">
        <v>5</v>
      </c>
      <c r="C180" s="4" t="s">
        <v>512</v>
      </c>
      <c r="D180" s="4" t="s">
        <v>1358</v>
      </c>
      <c r="E180" s="4" t="s">
        <v>85</v>
      </c>
      <c r="F180" s="4" t="s">
        <v>1359</v>
      </c>
      <c r="G180" s="4" t="s">
        <v>1360</v>
      </c>
      <c r="H180" s="4" t="s">
        <v>538</v>
      </c>
      <c r="I180" s="4" t="s">
        <v>51</v>
      </c>
      <c r="J180" s="4" t="s">
        <v>499</v>
      </c>
      <c r="K180" s="4">
        <v>0</v>
      </c>
      <c r="L180" s="4" t="s">
        <v>1054</v>
      </c>
      <c r="M180" s="4"/>
      <c r="N180" s="4" t="s">
        <v>1050</v>
      </c>
      <c r="O180" s="4" t="s">
        <v>659</v>
      </c>
      <c r="P180" s="4" t="s">
        <v>659</v>
      </c>
      <c r="Q180" s="4"/>
      <c r="R180" s="4"/>
      <c r="S180" s="4"/>
      <c r="T180" s="4"/>
      <c r="U180" s="5">
        <v>46289</v>
      </c>
      <c r="V180" s="4"/>
    </row>
    <row r="181" spans="1:22" x14ac:dyDescent="0.3">
      <c r="A181" s="4">
        <v>180</v>
      </c>
      <c r="B181" s="4">
        <v>5</v>
      </c>
      <c r="C181" s="4" t="s">
        <v>512</v>
      </c>
      <c r="D181" s="4" t="s">
        <v>1361</v>
      </c>
      <c r="E181" s="4" t="s">
        <v>508</v>
      </c>
      <c r="F181" s="4" t="s">
        <v>1362</v>
      </c>
      <c r="G181" s="4" t="s">
        <v>1363</v>
      </c>
      <c r="H181" s="4" t="s">
        <v>668</v>
      </c>
      <c r="I181" s="4" t="s">
        <v>51</v>
      </c>
      <c r="J181" s="4" t="s">
        <v>499</v>
      </c>
      <c r="K181" s="4">
        <v>0</v>
      </c>
      <c r="L181" s="4" t="s">
        <v>1358</v>
      </c>
      <c r="M181" s="4"/>
      <c r="N181" s="4" t="s">
        <v>1050</v>
      </c>
      <c r="O181" s="4" t="s">
        <v>671</v>
      </c>
      <c r="P181" s="4" t="s">
        <v>659</v>
      </c>
      <c r="Q181" s="4"/>
      <c r="R181" s="4"/>
      <c r="S181" s="4"/>
      <c r="T181" s="4"/>
      <c r="U181" s="5">
        <v>46289</v>
      </c>
      <c r="V181" s="4"/>
    </row>
    <row r="182" spans="1:22" x14ac:dyDescent="0.3">
      <c r="A182" s="4">
        <v>181</v>
      </c>
      <c r="B182" s="4">
        <v>5</v>
      </c>
      <c r="C182" s="4" t="s">
        <v>512</v>
      </c>
      <c r="D182" s="4" t="s">
        <v>1364</v>
      </c>
      <c r="E182" s="4" t="s">
        <v>508</v>
      </c>
      <c r="F182" s="4" t="s">
        <v>1365</v>
      </c>
      <c r="G182" s="4" t="s">
        <v>1366</v>
      </c>
      <c r="H182" s="4" t="s">
        <v>668</v>
      </c>
      <c r="I182" s="4" t="s">
        <v>51</v>
      </c>
      <c r="J182" s="4" t="s">
        <v>499</v>
      </c>
      <c r="K182" s="4">
        <v>0</v>
      </c>
      <c r="L182" s="4" t="s">
        <v>1054</v>
      </c>
      <c r="M182" s="4"/>
      <c r="N182" s="4" t="s">
        <v>1050</v>
      </c>
      <c r="O182" s="4" t="s">
        <v>659</v>
      </c>
      <c r="P182" s="4" t="s">
        <v>659</v>
      </c>
      <c r="Q182" s="4"/>
      <c r="R182" s="4"/>
      <c r="S182" s="4"/>
      <c r="T182" s="4"/>
      <c r="U182" s="5">
        <v>46289</v>
      </c>
      <c r="V182" s="4"/>
    </row>
    <row r="183" spans="1:22" x14ac:dyDescent="0.3">
      <c r="A183" s="4">
        <v>182</v>
      </c>
      <c r="B183" s="4">
        <v>5</v>
      </c>
      <c r="C183" s="4" t="s">
        <v>512</v>
      </c>
      <c r="D183" s="4" t="s">
        <v>1367</v>
      </c>
      <c r="E183" s="4" t="s">
        <v>508</v>
      </c>
      <c r="F183" s="4" t="s">
        <v>1368</v>
      </c>
      <c r="G183" s="4" t="s">
        <v>1369</v>
      </c>
      <c r="H183" s="4" t="s">
        <v>668</v>
      </c>
      <c r="I183" s="4" t="s">
        <v>51</v>
      </c>
      <c r="J183" s="4" t="s">
        <v>499</v>
      </c>
      <c r="K183" s="4">
        <v>0</v>
      </c>
      <c r="L183" s="4" t="s">
        <v>1347</v>
      </c>
      <c r="M183" s="4"/>
      <c r="N183" s="4" t="s">
        <v>1370</v>
      </c>
      <c r="O183" s="4" t="s">
        <v>671</v>
      </c>
      <c r="P183" s="4" t="s">
        <v>659</v>
      </c>
      <c r="Q183" s="4"/>
      <c r="R183" s="4"/>
      <c r="S183" s="4"/>
      <c r="T183" s="4"/>
      <c r="U183" s="5">
        <v>46289</v>
      </c>
      <c r="V183" s="4"/>
    </row>
    <row r="184" spans="1:22" x14ac:dyDescent="0.3">
      <c r="A184" s="4">
        <v>183</v>
      </c>
      <c r="B184" s="4">
        <v>5</v>
      </c>
      <c r="C184" s="4" t="s">
        <v>512</v>
      </c>
      <c r="D184" s="4" t="s">
        <v>1371</v>
      </c>
      <c r="E184" s="4" t="s">
        <v>508</v>
      </c>
      <c r="F184" s="4" t="s">
        <v>1372</v>
      </c>
      <c r="G184" s="4" t="s">
        <v>1373</v>
      </c>
      <c r="H184" s="4" t="s">
        <v>668</v>
      </c>
      <c r="I184" s="4" t="s">
        <v>51</v>
      </c>
      <c r="J184" s="4" t="s">
        <v>499</v>
      </c>
      <c r="K184" s="4">
        <v>0</v>
      </c>
      <c r="L184" s="4" t="s">
        <v>1007</v>
      </c>
      <c r="M184" s="4"/>
      <c r="N184" s="4" t="s">
        <v>1050</v>
      </c>
      <c r="O184" s="4" t="s">
        <v>671</v>
      </c>
      <c r="P184" s="4" t="s">
        <v>659</v>
      </c>
      <c r="Q184" s="4"/>
      <c r="R184" s="4"/>
      <c r="S184" s="4"/>
      <c r="T184" s="4"/>
      <c r="U184" s="5">
        <v>46289</v>
      </c>
      <c r="V184" s="4"/>
    </row>
    <row r="185" spans="1:22" x14ac:dyDescent="0.3">
      <c r="A185" s="4">
        <v>184</v>
      </c>
      <c r="B185" s="4">
        <v>5</v>
      </c>
      <c r="C185" s="4" t="s">
        <v>512</v>
      </c>
      <c r="D185" s="4" t="s">
        <v>1374</v>
      </c>
      <c r="E185" s="4" t="s">
        <v>508</v>
      </c>
      <c r="F185" s="4" t="s">
        <v>1375</v>
      </c>
      <c r="G185" s="4" t="s">
        <v>1376</v>
      </c>
      <c r="H185" s="4" t="s">
        <v>668</v>
      </c>
      <c r="I185" s="4" t="s">
        <v>51</v>
      </c>
      <c r="J185" s="4" t="s">
        <v>499</v>
      </c>
      <c r="K185" s="4">
        <v>5</v>
      </c>
      <c r="L185" s="4" t="s">
        <v>535</v>
      </c>
      <c r="M185" s="4" t="s">
        <v>1377</v>
      </c>
      <c r="N185" s="4" t="s">
        <v>1378</v>
      </c>
      <c r="O185" s="4" t="s">
        <v>671</v>
      </c>
      <c r="P185" s="4" t="s">
        <v>659</v>
      </c>
      <c r="Q185" s="4"/>
      <c r="R185" s="4"/>
      <c r="S185" s="4"/>
      <c r="T185" s="4"/>
      <c r="U185" s="5">
        <v>46289</v>
      </c>
      <c r="V185" s="4"/>
    </row>
    <row r="186" spans="1:22" x14ac:dyDescent="0.3">
      <c r="A186" s="4">
        <v>185</v>
      </c>
      <c r="B186" s="4">
        <v>5</v>
      </c>
      <c r="C186" s="4" t="s">
        <v>512</v>
      </c>
      <c r="D186" s="4" t="s">
        <v>1379</v>
      </c>
      <c r="E186" s="4" t="s">
        <v>508</v>
      </c>
      <c r="F186" s="4" t="s">
        <v>1380</v>
      </c>
      <c r="G186" s="4" t="s">
        <v>1381</v>
      </c>
      <c r="H186" s="4" t="s">
        <v>668</v>
      </c>
      <c r="I186" s="4" t="s">
        <v>267</v>
      </c>
      <c r="J186" s="4" t="s">
        <v>499</v>
      </c>
      <c r="K186" s="4">
        <v>0</v>
      </c>
      <c r="L186" s="4" t="s">
        <v>188</v>
      </c>
      <c r="M186" s="4"/>
      <c r="N186" s="4" t="s">
        <v>1050</v>
      </c>
      <c r="O186" s="4" t="s">
        <v>671</v>
      </c>
      <c r="P186" s="4" t="s">
        <v>659</v>
      </c>
      <c r="Q186" s="4"/>
      <c r="R186" s="4"/>
      <c r="S186" s="4"/>
      <c r="T186" s="4"/>
      <c r="U186" s="5">
        <v>46289</v>
      </c>
      <c r="V186" s="4"/>
    </row>
    <row r="187" spans="1:22" x14ac:dyDescent="0.3">
      <c r="A187" s="4">
        <v>186</v>
      </c>
      <c r="B187" s="4">
        <v>5</v>
      </c>
      <c r="C187" s="4" t="s">
        <v>512</v>
      </c>
      <c r="D187" s="4" t="s">
        <v>1382</v>
      </c>
      <c r="E187" s="4" t="s">
        <v>508</v>
      </c>
      <c r="F187" s="4" t="s">
        <v>1383</v>
      </c>
      <c r="G187" s="4" t="s">
        <v>1384</v>
      </c>
      <c r="H187" s="4" t="s">
        <v>668</v>
      </c>
      <c r="I187" s="4" t="s">
        <v>26</v>
      </c>
      <c r="J187" s="4" t="s">
        <v>496</v>
      </c>
      <c r="K187" s="4">
        <v>80</v>
      </c>
      <c r="L187" s="4" t="s">
        <v>1385</v>
      </c>
      <c r="M187" s="4" t="s">
        <v>1386</v>
      </c>
      <c r="N187" s="4" t="s">
        <v>1387</v>
      </c>
      <c r="O187" s="4" t="s">
        <v>671</v>
      </c>
      <c r="P187" s="4" t="s">
        <v>672</v>
      </c>
      <c r="Q187" s="4"/>
      <c r="R187" s="4"/>
      <c r="S187" s="4"/>
      <c r="T187" s="4"/>
      <c r="U187" s="5">
        <v>46289</v>
      </c>
      <c r="V187" s="4"/>
    </row>
    <row r="188" spans="1:22" x14ac:dyDescent="0.3">
      <c r="A188" s="4">
        <v>187</v>
      </c>
      <c r="B188" s="4">
        <v>5</v>
      </c>
      <c r="C188" s="4" t="s">
        <v>512</v>
      </c>
      <c r="D188" s="4" t="s">
        <v>204</v>
      </c>
      <c r="E188" s="4" t="s">
        <v>508</v>
      </c>
      <c r="F188" s="4" t="s">
        <v>205</v>
      </c>
      <c r="G188" s="4" t="s">
        <v>1388</v>
      </c>
      <c r="H188" s="4" t="s">
        <v>668</v>
      </c>
      <c r="I188" s="4" t="s">
        <v>26</v>
      </c>
      <c r="J188" s="4" t="s">
        <v>499</v>
      </c>
      <c r="K188" s="4">
        <v>5</v>
      </c>
      <c r="L188" s="4" t="s">
        <v>1382</v>
      </c>
      <c r="M188" s="4"/>
      <c r="N188" s="4" t="s">
        <v>1389</v>
      </c>
      <c r="O188" s="4" t="s">
        <v>1390</v>
      </c>
      <c r="P188" s="4" t="s">
        <v>659</v>
      </c>
      <c r="Q188" s="4"/>
      <c r="R188" s="4"/>
      <c r="S188" s="4"/>
      <c r="T188" s="4"/>
      <c r="U188" s="5">
        <v>46289</v>
      </c>
      <c r="V188" s="4"/>
    </row>
    <row r="189" spans="1:22" x14ac:dyDescent="0.3">
      <c r="A189" s="4">
        <v>188</v>
      </c>
      <c r="B189" s="4">
        <v>5</v>
      </c>
      <c r="C189" s="4" t="s">
        <v>512</v>
      </c>
      <c r="D189" s="4" t="s">
        <v>1391</v>
      </c>
      <c r="E189" s="4" t="s">
        <v>85</v>
      </c>
      <c r="F189" s="4" t="s">
        <v>1392</v>
      </c>
      <c r="G189" s="4" t="s">
        <v>1393</v>
      </c>
      <c r="H189" s="4" t="s">
        <v>668</v>
      </c>
      <c r="I189" s="4" t="s">
        <v>51</v>
      </c>
      <c r="J189" s="4" t="s">
        <v>499</v>
      </c>
      <c r="K189" s="4">
        <v>0</v>
      </c>
      <c r="L189" s="4" t="s">
        <v>1364</v>
      </c>
      <c r="M189" s="4"/>
      <c r="N189" s="4" t="s">
        <v>1394</v>
      </c>
      <c r="O189" s="4" t="s">
        <v>659</v>
      </c>
      <c r="P189" s="4" t="s">
        <v>659</v>
      </c>
      <c r="Q189" s="4"/>
      <c r="R189" s="4"/>
      <c r="S189" s="4"/>
      <c r="T189" s="4"/>
      <c r="U189" s="5">
        <v>46289</v>
      </c>
      <c r="V189" s="4"/>
    </row>
    <row r="190" spans="1:22" x14ac:dyDescent="0.3">
      <c r="A190" s="4">
        <v>189</v>
      </c>
      <c r="B190" s="4">
        <v>5</v>
      </c>
      <c r="C190" s="4" t="s">
        <v>512</v>
      </c>
      <c r="D190" s="4" t="s">
        <v>1395</v>
      </c>
      <c r="E190" s="4" t="s">
        <v>85</v>
      </c>
      <c r="F190" s="4" t="s">
        <v>1396</v>
      </c>
      <c r="G190" s="4" t="s">
        <v>1397</v>
      </c>
      <c r="H190" s="4" t="s">
        <v>538</v>
      </c>
      <c r="I190" s="4" t="s">
        <v>51</v>
      </c>
      <c r="J190" s="4" t="s">
        <v>499</v>
      </c>
      <c r="K190" s="4">
        <v>0</v>
      </c>
      <c r="L190" s="4" t="s">
        <v>1391</v>
      </c>
      <c r="M190" s="4"/>
      <c r="N190" s="4" t="s">
        <v>1050</v>
      </c>
      <c r="O190" s="4" t="s">
        <v>659</v>
      </c>
      <c r="P190" s="4" t="s">
        <v>659</v>
      </c>
      <c r="Q190" s="4"/>
      <c r="R190" s="4"/>
      <c r="S190" s="4"/>
      <c r="T190" s="4"/>
      <c r="U190" s="5">
        <v>46289</v>
      </c>
      <c r="V190" s="4"/>
    </row>
    <row r="191" spans="1:22" x14ac:dyDescent="0.3">
      <c r="A191" s="4">
        <v>190</v>
      </c>
      <c r="B191" s="4">
        <v>5</v>
      </c>
      <c r="C191" s="4" t="s">
        <v>512</v>
      </c>
      <c r="D191" s="4" t="s">
        <v>1398</v>
      </c>
      <c r="E191" s="4" t="s">
        <v>85</v>
      </c>
      <c r="F191" s="4" t="s">
        <v>1399</v>
      </c>
      <c r="G191" s="4" t="s">
        <v>1400</v>
      </c>
      <c r="H191" s="4" t="s">
        <v>668</v>
      </c>
      <c r="I191" s="4" t="s">
        <v>267</v>
      </c>
      <c r="J191" s="4" t="s">
        <v>499</v>
      </c>
      <c r="K191" s="4">
        <v>0</v>
      </c>
      <c r="L191" s="4" t="s">
        <v>1391</v>
      </c>
      <c r="M191" s="4"/>
      <c r="N191" s="4" t="s">
        <v>1050</v>
      </c>
      <c r="O191" s="4" t="s">
        <v>659</v>
      </c>
      <c r="P191" s="4" t="s">
        <v>659</v>
      </c>
      <c r="Q191" s="4"/>
      <c r="R191" s="4"/>
      <c r="S191" s="4"/>
      <c r="T191" s="4"/>
      <c r="U191" s="5">
        <v>46289</v>
      </c>
      <c r="V191" s="4"/>
    </row>
    <row r="192" spans="1:22" x14ac:dyDescent="0.3">
      <c r="A192" s="4">
        <v>191</v>
      </c>
      <c r="B192" s="4">
        <v>5</v>
      </c>
      <c r="C192" s="4" t="s">
        <v>512</v>
      </c>
      <c r="D192" s="4" t="s">
        <v>1401</v>
      </c>
      <c r="E192" s="4" t="s">
        <v>85</v>
      </c>
      <c r="F192" s="4" t="s">
        <v>1402</v>
      </c>
      <c r="G192" s="4" t="s">
        <v>1403</v>
      </c>
      <c r="H192" s="4" t="s">
        <v>668</v>
      </c>
      <c r="I192" s="4" t="s">
        <v>267</v>
      </c>
      <c r="J192" s="4" t="s">
        <v>499</v>
      </c>
      <c r="K192" s="4">
        <v>0</v>
      </c>
      <c r="L192" s="4" t="s">
        <v>92</v>
      </c>
      <c r="M192" s="4"/>
      <c r="N192" s="4" t="s">
        <v>1050</v>
      </c>
      <c r="O192" s="4" t="s">
        <v>659</v>
      </c>
      <c r="P192" s="4" t="s">
        <v>659</v>
      </c>
      <c r="Q192" s="4"/>
      <c r="R192" s="4"/>
      <c r="S192" s="4"/>
      <c r="T192" s="4"/>
      <c r="U192" s="5">
        <v>46289</v>
      </c>
      <c r="V192" s="4"/>
    </row>
    <row r="193" spans="1:22" x14ac:dyDescent="0.3">
      <c r="A193" s="4">
        <v>192</v>
      </c>
      <c r="B193" s="4">
        <v>5</v>
      </c>
      <c r="C193" s="4" t="s">
        <v>512</v>
      </c>
      <c r="D193" s="4" t="s">
        <v>1404</v>
      </c>
      <c r="E193" s="4" t="s">
        <v>85</v>
      </c>
      <c r="F193" s="4" t="s">
        <v>1405</v>
      </c>
      <c r="G193" s="4" t="s">
        <v>1406</v>
      </c>
      <c r="H193" s="4" t="s">
        <v>538</v>
      </c>
      <c r="I193" s="4" t="s">
        <v>267</v>
      </c>
      <c r="J193" s="4" t="s">
        <v>499</v>
      </c>
      <c r="K193" s="4">
        <v>5</v>
      </c>
      <c r="L193" s="4" t="s">
        <v>92</v>
      </c>
      <c r="M193" s="4"/>
      <c r="N193" s="4" t="s">
        <v>1050</v>
      </c>
      <c r="O193" s="4" t="s">
        <v>659</v>
      </c>
      <c r="P193" s="4" t="s">
        <v>659</v>
      </c>
      <c r="Q193" s="4"/>
      <c r="R193" s="4"/>
      <c r="S193" s="4"/>
      <c r="T193" s="4"/>
      <c r="U193" s="5">
        <v>46289</v>
      </c>
      <c r="V193" s="4"/>
    </row>
    <row r="194" spans="1:22" x14ac:dyDescent="0.3">
      <c r="A194" s="4">
        <v>193</v>
      </c>
      <c r="B194" s="4">
        <v>5</v>
      </c>
      <c r="C194" s="4" t="s">
        <v>512</v>
      </c>
      <c r="D194" s="4" t="s">
        <v>1407</v>
      </c>
      <c r="E194" s="4" t="s">
        <v>513</v>
      </c>
      <c r="F194" s="4" t="s">
        <v>1408</v>
      </c>
      <c r="G194" s="4" t="s">
        <v>1409</v>
      </c>
      <c r="H194" s="4" t="s">
        <v>668</v>
      </c>
      <c r="I194" s="4" t="s">
        <v>51</v>
      </c>
      <c r="J194" s="4" t="s">
        <v>499</v>
      </c>
      <c r="K194" s="4">
        <v>5</v>
      </c>
      <c r="L194" s="4" t="s">
        <v>1364</v>
      </c>
      <c r="M194" s="4"/>
      <c r="N194" s="4" t="s">
        <v>1271</v>
      </c>
      <c r="O194" s="4" t="s">
        <v>732</v>
      </c>
      <c r="P194" s="4" t="s">
        <v>659</v>
      </c>
      <c r="Q194" s="4"/>
      <c r="R194" s="4"/>
      <c r="S194" s="4"/>
      <c r="T194" s="4"/>
      <c r="U194" s="5">
        <v>46289</v>
      </c>
      <c r="V194" s="4"/>
    </row>
    <row r="195" spans="1:22" x14ac:dyDescent="0.3">
      <c r="A195" s="4">
        <v>194</v>
      </c>
      <c r="B195" s="4">
        <v>6</v>
      </c>
      <c r="C195" s="4" t="s">
        <v>207</v>
      </c>
      <c r="D195" s="4" t="s">
        <v>208</v>
      </c>
      <c r="E195" s="4" t="s">
        <v>207</v>
      </c>
      <c r="F195" s="4" t="s">
        <v>209</v>
      </c>
      <c r="G195" s="4" t="s">
        <v>1410</v>
      </c>
      <c r="H195" s="4" t="s">
        <v>538</v>
      </c>
      <c r="I195" s="4" t="s">
        <v>26</v>
      </c>
      <c r="J195" s="4" t="s">
        <v>497</v>
      </c>
      <c r="K195" s="4">
        <v>50</v>
      </c>
      <c r="L195" s="4"/>
      <c r="M195" s="4" t="s">
        <v>1411</v>
      </c>
      <c r="N195" s="4" t="s">
        <v>1412</v>
      </c>
      <c r="O195" s="4" t="s">
        <v>1413</v>
      </c>
      <c r="P195" s="4" t="s">
        <v>659</v>
      </c>
      <c r="Q195" s="4"/>
      <c r="R195" s="4"/>
      <c r="S195" s="4"/>
      <c r="T195" s="4"/>
      <c r="U195" s="5">
        <v>46289</v>
      </c>
      <c r="V195" s="4"/>
    </row>
    <row r="196" spans="1:22" x14ac:dyDescent="0.3">
      <c r="A196" s="4">
        <v>195</v>
      </c>
      <c r="B196" s="4">
        <v>6</v>
      </c>
      <c r="C196" s="4" t="s">
        <v>207</v>
      </c>
      <c r="D196" s="4" t="s">
        <v>211</v>
      </c>
      <c r="E196" s="4" t="s">
        <v>207</v>
      </c>
      <c r="F196" s="4" t="s">
        <v>212</v>
      </c>
      <c r="G196" s="4" t="s">
        <v>1414</v>
      </c>
      <c r="H196" s="4" t="s">
        <v>538</v>
      </c>
      <c r="I196" s="4" t="s">
        <v>26</v>
      </c>
      <c r="J196" s="4" t="s">
        <v>498</v>
      </c>
      <c r="K196" s="4">
        <v>0</v>
      </c>
      <c r="L196" s="4"/>
      <c r="M196" s="4" t="s">
        <v>1415</v>
      </c>
      <c r="N196" s="4" t="s">
        <v>1416</v>
      </c>
      <c r="O196" s="4" t="s">
        <v>1413</v>
      </c>
      <c r="P196" s="4" t="s">
        <v>659</v>
      </c>
      <c r="Q196" s="4"/>
      <c r="R196" s="4"/>
      <c r="S196" s="4"/>
      <c r="T196" s="4"/>
      <c r="U196" s="5">
        <v>46289</v>
      </c>
      <c r="V196" s="4"/>
    </row>
    <row r="197" spans="1:22" x14ac:dyDescent="0.3">
      <c r="A197" s="4">
        <v>196</v>
      </c>
      <c r="B197" s="4">
        <v>6</v>
      </c>
      <c r="C197" s="4" t="s">
        <v>207</v>
      </c>
      <c r="D197" s="4" t="s">
        <v>214</v>
      </c>
      <c r="E197" s="4" t="s">
        <v>503</v>
      </c>
      <c r="F197" s="4" t="s">
        <v>215</v>
      </c>
      <c r="G197" s="4" t="s">
        <v>1417</v>
      </c>
      <c r="H197" s="4" t="s">
        <v>538</v>
      </c>
      <c r="I197" s="4" t="s">
        <v>26</v>
      </c>
      <c r="J197" s="4" t="s">
        <v>497</v>
      </c>
      <c r="K197" s="4">
        <v>30</v>
      </c>
      <c r="L197" s="4"/>
      <c r="M197" s="4" t="s">
        <v>1418</v>
      </c>
      <c r="N197" s="4" t="s">
        <v>1419</v>
      </c>
      <c r="O197" s="4" t="s">
        <v>1390</v>
      </c>
      <c r="P197" s="4" t="s">
        <v>659</v>
      </c>
      <c r="Q197" s="4"/>
      <c r="R197" s="4"/>
      <c r="S197" s="4"/>
      <c r="T197" s="4"/>
      <c r="U197" s="5">
        <v>46289</v>
      </c>
      <c r="V197" s="4"/>
    </row>
    <row r="198" spans="1:22" x14ac:dyDescent="0.3">
      <c r="A198" s="4">
        <v>197</v>
      </c>
      <c r="B198" s="4">
        <v>6</v>
      </c>
      <c r="C198" s="4" t="s">
        <v>207</v>
      </c>
      <c r="D198" s="4" t="s">
        <v>217</v>
      </c>
      <c r="E198" s="4" t="s">
        <v>503</v>
      </c>
      <c r="F198" s="4" t="s">
        <v>1420</v>
      </c>
      <c r="G198" s="4" t="s">
        <v>1421</v>
      </c>
      <c r="H198" s="4" t="s">
        <v>538</v>
      </c>
      <c r="I198" s="4" t="s">
        <v>51</v>
      </c>
      <c r="J198" s="4" t="s">
        <v>497</v>
      </c>
      <c r="K198" s="4">
        <v>40</v>
      </c>
      <c r="L198" s="4" t="s">
        <v>120</v>
      </c>
      <c r="M198" s="4" t="s">
        <v>1422</v>
      </c>
      <c r="N198" s="4" t="s">
        <v>1423</v>
      </c>
      <c r="O198" s="4" t="s">
        <v>732</v>
      </c>
      <c r="P198" s="4" t="s">
        <v>796</v>
      </c>
      <c r="Q198" s="4"/>
      <c r="R198" s="4"/>
      <c r="S198" s="4"/>
      <c r="T198" s="4"/>
      <c r="U198" s="5">
        <v>46289</v>
      </c>
      <c r="V198" s="4"/>
    </row>
    <row r="199" spans="1:22" x14ac:dyDescent="0.3">
      <c r="A199" s="4">
        <v>198</v>
      </c>
      <c r="B199" s="4">
        <v>6</v>
      </c>
      <c r="C199" s="4" t="s">
        <v>207</v>
      </c>
      <c r="D199" s="4" t="s">
        <v>220</v>
      </c>
      <c r="E199" s="4" t="s">
        <v>508</v>
      </c>
      <c r="F199" s="4" t="s">
        <v>221</v>
      </c>
      <c r="G199" s="4" t="s">
        <v>1424</v>
      </c>
      <c r="H199" s="4" t="s">
        <v>668</v>
      </c>
      <c r="I199" s="4" t="s">
        <v>51</v>
      </c>
      <c r="J199" s="4" t="s">
        <v>497</v>
      </c>
      <c r="K199" s="4">
        <v>30</v>
      </c>
      <c r="L199" s="4" t="s">
        <v>217</v>
      </c>
      <c r="M199" s="4" t="s">
        <v>1425</v>
      </c>
      <c r="N199" s="4" t="s">
        <v>1426</v>
      </c>
      <c r="O199" s="4" t="s">
        <v>732</v>
      </c>
      <c r="P199" s="4" t="s">
        <v>659</v>
      </c>
      <c r="Q199" s="4"/>
      <c r="R199" s="4"/>
      <c r="S199" s="4"/>
      <c r="T199" s="4"/>
      <c r="U199" s="5">
        <v>46289</v>
      </c>
      <c r="V199" s="4"/>
    </row>
    <row r="200" spans="1:22" x14ac:dyDescent="0.3">
      <c r="A200" s="4">
        <v>199</v>
      </c>
      <c r="B200" s="4">
        <v>6</v>
      </c>
      <c r="C200" s="4" t="s">
        <v>207</v>
      </c>
      <c r="D200" s="4" t="s">
        <v>1427</v>
      </c>
      <c r="E200" s="4" t="s">
        <v>503</v>
      </c>
      <c r="F200" s="4" t="s">
        <v>1428</v>
      </c>
      <c r="G200" s="4" t="s">
        <v>1429</v>
      </c>
      <c r="H200" s="4" t="s">
        <v>546</v>
      </c>
      <c r="I200" s="4" t="s">
        <v>267</v>
      </c>
      <c r="J200" s="4" t="s">
        <v>497</v>
      </c>
      <c r="K200" s="4">
        <v>30</v>
      </c>
      <c r="L200" s="4"/>
      <c r="M200" s="4" t="s">
        <v>1430</v>
      </c>
      <c r="N200" s="4" t="s">
        <v>1431</v>
      </c>
      <c r="O200" s="4" t="s">
        <v>716</v>
      </c>
      <c r="P200" s="4" t="s">
        <v>659</v>
      </c>
      <c r="Q200" s="4"/>
      <c r="R200" s="4"/>
      <c r="S200" s="4"/>
      <c r="T200" s="4"/>
      <c r="U200" s="5">
        <v>46289</v>
      </c>
      <c r="V200" s="4"/>
    </row>
    <row r="201" spans="1:22" x14ac:dyDescent="0.3">
      <c r="A201" s="4">
        <v>200</v>
      </c>
      <c r="B201" s="4">
        <v>6</v>
      </c>
      <c r="C201" s="4" t="s">
        <v>207</v>
      </c>
      <c r="D201" s="4" t="s">
        <v>223</v>
      </c>
      <c r="E201" s="4" t="s">
        <v>207</v>
      </c>
      <c r="F201" s="4" t="s">
        <v>224</v>
      </c>
      <c r="G201" s="4" t="s">
        <v>1432</v>
      </c>
      <c r="H201" s="4" t="s">
        <v>668</v>
      </c>
      <c r="I201" s="4" t="s">
        <v>51</v>
      </c>
      <c r="J201" s="4" t="s">
        <v>499</v>
      </c>
      <c r="K201" s="4">
        <v>5</v>
      </c>
      <c r="L201" s="4" t="s">
        <v>92</v>
      </c>
      <c r="M201" s="4" t="s">
        <v>1433</v>
      </c>
      <c r="N201" s="4" t="s">
        <v>1434</v>
      </c>
      <c r="O201" s="4" t="s">
        <v>1390</v>
      </c>
      <c r="P201" s="4" t="s">
        <v>659</v>
      </c>
      <c r="Q201" s="4"/>
      <c r="R201" s="4"/>
      <c r="S201" s="4"/>
      <c r="T201" s="4"/>
      <c r="U201" s="5">
        <v>46289</v>
      </c>
      <c r="V201" s="4"/>
    </row>
    <row r="202" spans="1:22" x14ac:dyDescent="0.3">
      <c r="A202" s="4">
        <v>201</v>
      </c>
      <c r="B202" s="4">
        <v>6</v>
      </c>
      <c r="C202" s="4" t="s">
        <v>207</v>
      </c>
      <c r="D202" s="4" t="s">
        <v>226</v>
      </c>
      <c r="E202" s="4" t="s">
        <v>207</v>
      </c>
      <c r="F202" s="4" t="s">
        <v>227</v>
      </c>
      <c r="G202" s="4" t="s">
        <v>1435</v>
      </c>
      <c r="H202" s="4" t="s">
        <v>668</v>
      </c>
      <c r="I202" s="4" t="s">
        <v>51</v>
      </c>
      <c r="J202" s="4" t="s">
        <v>497</v>
      </c>
      <c r="K202" s="4">
        <v>10</v>
      </c>
      <c r="L202" s="4" t="s">
        <v>223</v>
      </c>
      <c r="M202" s="4" t="s">
        <v>1436</v>
      </c>
      <c r="N202" s="4" t="s">
        <v>1437</v>
      </c>
      <c r="O202" s="4" t="s">
        <v>1390</v>
      </c>
      <c r="P202" s="4" t="s">
        <v>659</v>
      </c>
      <c r="Q202" s="4"/>
      <c r="R202" s="4"/>
      <c r="S202" s="4"/>
      <c r="T202" s="4"/>
      <c r="U202" s="5">
        <v>46289</v>
      </c>
      <c r="V202" s="4"/>
    </row>
    <row r="203" spans="1:22" x14ac:dyDescent="0.3">
      <c r="A203" s="4">
        <v>202</v>
      </c>
      <c r="B203" s="4">
        <v>6</v>
      </c>
      <c r="C203" s="4" t="s">
        <v>207</v>
      </c>
      <c r="D203" s="4" t="s">
        <v>1438</v>
      </c>
      <c r="E203" s="4" t="s">
        <v>503</v>
      </c>
      <c r="F203" s="4" t="s">
        <v>1439</v>
      </c>
      <c r="G203" s="4" t="s">
        <v>1440</v>
      </c>
      <c r="H203" s="4" t="s">
        <v>538</v>
      </c>
      <c r="I203" s="4" t="s">
        <v>267</v>
      </c>
      <c r="J203" s="4" t="s">
        <v>497</v>
      </c>
      <c r="K203" s="4">
        <v>50</v>
      </c>
      <c r="L203" s="4"/>
      <c r="M203" s="4" t="s">
        <v>1441</v>
      </c>
      <c r="N203" s="4" t="s">
        <v>1442</v>
      </c>
      <c r="O203" s="4" t="s">
        <v>1443</v>
      </c>
      <c r="P203" s="4" t="s">
        <v>659</v>
      </c>
      <c r="Q203" s="4"/>
      <c r="R203" s="4"/>
      <c r="S203" s="4"/>
      <c r="T203" s="4"/>
      <c r="U203" s="5">
        <v>46289</v>
      </c>
      <c r="V203" s="4"/>
    </row>
    <row r="204" spans="1:22" x14ac:dyDescent="0.3">
      <c r="A204" s="4">
        <v>203</v>
      </c>
      <c r="B204" s="4">
        <v>6</v>
      </c>
      <c r="C204" s="4" t="s">
        <v>207</v>
      </c>
      <c r="D204" s="4" t="s">
        <v>229</v>
      </c>
      <c r="E204" s="4" t="s">
        <v>113</v>
      </c>
      <c r="F204" s="4" t="s">
        <v>230</v>
      </c>
      <c r="G204" s="4" t="s">
        <v>1444</v>
      </c>
      <c r="H204" s="4" t="s">
        <v>538</v>
      </c>
      <c r="I204" s="4" t="s">
        <v>51</v>
      </c>
      <c r="J204" s="4" t="s">
        <v>497</v>
      </c>
      <c r="K204" s="4">
        <v>25</v>
      </c>
      <c r="L204" s="4" t="s">
        <v>92</v>
      </c>
      <c r="M204" s="4" t="s">
        <v>1445</v>
      </c>
      <c r="N204" s="4" t="s">
        <v>1446</v>
      </c>
      <c r="O204" s="4" t="s">
        <v>732</v>
      </c>
      <c r="P204" s="4" t="s">
        <v>659</v>
      </c>
      <c r="Q204" s="4"/>
      <c r="R204" s="4"/>
      <c r="S204" s="4"/>
      <c r="T204" s="4"/>
      <c r="U204" s="5">
        <v>46289</v>
      </c>
      <c r="V204" s="4"/>
    </row>
    <row r="205" spans="1:22" x14ac:dyDescent="0.3">
      <c r="A205" s="4">
        <v>204</v>
      </c>
      <c r="B205" s="4">
        <v>6</v>
      </c>
      <c r="C205" s="4" t="s">
        <v>207</v>
      </c>
      <c r="D205" s="4" t="s">
        <v>233</v>
      </c>
      <c r="E205" s="4" t="s">
        <v>232</v>
      </c>
      <c r="F205" s="4" t="s">
        <v>234</v>
      </c>
      <c r="G205" s="4" t="s">
        <v>1447</v>
      </c>
      <c r="H205" s="4" t="s">
        <v>538</v>
      </c>
      <c r="I205" s="4" t="s">
        <v>51</v>
      </c>
      <c r="J205" s="4" t="s">
        <v>497</v>
      </c>
      <c r="K205" s="4">
        <v>50</v>
      </c>
      <c r="L205" s="4"/>
      <c r="M205" s="4" t="s">
        <v>1448</v>
      </c>
      <c r="N205" s="4" t="s">
        <v>1449</v>
      </c>
      <c r="O205" s="4" t="s">
        <v>659</v>
      </c>
      <c r="P205" s="4" t="s">
        <v>659</v>
      </c>
      <c r="Q205" s="4"/>
      <c r="R205" s="4"/>
      <c r="S205" s="4"/>
      <c r="T205" s="4"/>
      <c r="U205" s="5">
        <v>46289</v>
      </c>
      <c r="V205" s="4"/>
    </row>
    <row r="206" spans="1:22" x14ac:dyDescent="0.3">
      <c r="A206" s="4">
        <v>205</v>
      </c>
      <c r="B206" s="4">
        <v>7</v>
      </c>
      <c r="C206" s="4" t="s">
        <v>54</v>
      </c>
      <c r="D206" s="4" t="s">
        <v>1450</v>
      </c>
      <c r="E206" s="4" t="s">
        <v>505</v>
      </c>
      <c r="F206" s="4" t="s">
        <v>265</v>
      </c>
      <c r="G206" s="4" t="s">
        <v>1451</v>
      </c>
      <c r="H206" s="4" t="s">
        <v>668</v>
      </c>
      <c r="I206" s="4" t="s">
        <v>267</v>
      </c>
      <c r="J206" s="4" t="s">
        <v>499</v>
      </c>
      <c r="K206" s="4">
        <v>5</v>
      </c>
      <c r="L206" s="4" t="s">
        <v>968</v>
      </c>
      <c r="M206" s="4" t="s">
        <v>1452</v>
      </c>
      <c r="N206" s="4" t="s">
        <v>1453</v>
      </c>
      <c r="O206" s="4" t="s">
        <v>1180</v>
      </c>
      <c r="P206" s="4" t="s">
        <v>659</v>
      </c>
      <c r="Q206" s="4"/>
      <c r="R206" s="4"/>
      <c r="S206" s="4"/>
      <c r="T206" s="4"/>
      <c r="U206" s="5">
        <v>46289</v>
      </c>
      <c r="V206" s="4"/>
    </row>
    <row r="207" spans="1:22" x14ac:dyDescent="0.3">
      <c r="A207" s="4">
        <v>206</v>
      </c>
      <c r="B207" s="4">
        <v>7</v>
      </c>
      <c r="C207" s="4" t="s">
        <v>54</v>
      </c>
      <c r="D207" s="4" t="s">
        <v>1454</v>
      </c>
      <c r="E207" s="4" t="s">
        <v>505</v>
      </c>
      <c r="F207" s="4" t="s">
        <v>1455</v>
      </c>
      <c r="G207" s="4" t="s">
        <v>1456</v>
      </c>
      <c r="H207" s="4" t="s">
        <v>668</v>
      </c>
      <c r="I207" s="4" t="s">
        <v>267</v>
      </c>
      <c r="J207" s="4" t="s">
        <v>499</v>
      </c>
      <c r="K207" s="4">
        <v>5</v>
      </c>
      <c r="L207" s="4" t="s">
        <v>1450</v>
      </c>
      <c r="M207" s="4" t="s">
        <v>1457</v>
      </c>
      <c r="N207" s="4" t="s">
        <v>1458</v>
      </c>
      <c r="O207" s="4" t="s">
        <v>1180</v>
      </c>
      <c r="P207" s="4" t="s">
        <v>1459</v>
      </c>
      <c r="Q207" s="4"/>
      <c r="R207" s="4"/>
      <c r="S207" s="4"/>
      <c r="T207" s="4"/>
      <c r="U207" s="5">
        <v>46289</v>
      </c>
      <c r="V207" s="4"/>
    </row>
    <row r="208" spans="1:22" x14ac:dyDescent="0.3">
      <c r="A208" s="4">
        <v>207</v>
      </c>
      <c r="B208" s="4">
        <v>7</v>
      </c>
      <c r="C208" s="4" t="s">
        <v>54</v>
      </c>
      <c r="D208" s="4" t="s">
        <v>1460</v>
      </c>
      <c r="E208" s="4" t="s">
        <v>504</v>
      </c>
      <c r="F208" s="4" t="s">
        <v>272</v>
      </c>
      <c r="G208" s="4" t="s">
        <v>1461</v>
      </c>
      <c r="H208" s="4" t="s">
        <v>668</v>
      </c>
      <c r="I208" s="4" t="s">
        <v>267</v>
      </c>
      <c r="J208" s="4" t="s">
        <v>499</v>
      </c>
      <c r="K208" s="4">
        <v>0</v>
      </c>
      <c r="L208" s="4" t="s">
        <v>1454</v>
      </c>
      <c r="M208" s="4"/>
      <c r="N208" s="4" t="s">
        <v>1050</v>
      </c>
      <c r="O208" s="4" t="s">
        <v>659</v>
      </c>
      <c r="P208" s="4" t="s">
        <v>659</v>
      </c>
      <c r="Q208" s="4"/>
      <c r="R208" s="4"/>
      <c r="S208" s="4"/>
      <c r="T208" s="4"/>
      <c r="U208" s="5">
        <v>46289</v>
      </c>
      <c r="V208" s="4"/>
    </row>
    <row r="209" spans="1:22" x14ac:dyDescent="0.3">
      <c r="A209" s="4">
        <v>208</v>
      </c>
      <c r="B209" s="4">
        <v>7</v>
      </c>
      <c r="C209" s="4" t="s">
        <v>54</v>
      </c>
      <c r="D209" s="4" t="s">
        <v>1462</v>
      </c>
      <c r="E209" s="4" t="s">
        <v>504</v>
      </c>
      <c r="F209" s="4" t="s">
        <v>275</v>
      </c>
      <c r="G209" s="4" t="s">
        <v>1463</v>
      </c>
      <c r="H209" s="4" t="s">
        <v>668</v>
      </c>
      <c r="I209" s="4" t="s">
        <v>267</v>
      </c>
      <c r="J209" s="4" t="s">
        <v>499</v>
      </c>
      <c r="K209" s="4">
        <v>0</v>
      </c>
      <c r="L209" s="4" t="s">
        <v>1160</v>
      </c>
      <c r="M209" s="4"/>
      <c r="N209" s="4" t="s">
        <v>1050</v>
      </c>
      <c r="O209" s="4" t="s">
        <v>659</v>
      </c>
      <c r="P209" s="4" t="s">
        <v>659</v>
      </c>
      <c r="Q209" s="4"/>
      <c r="R209" s="4"/>
      <c r="S209" s="4"/>
      <c r="T209" s="4"/>
      <c r="U209" s="5">
        <v>46289</v>
      </c>
      <c r="V209" s="4"/>
    </row>
    <row r="210" spans="1:22" x14ac:dyDescent="0.3">
      <c r="A210" s="4">
        <v>209</v>
      </c>
      <c r="B210" s="4">
        <v>7</v>
      </c>
      <c r="C210" s="4" t="s">
        <v>54</v>
      </c>
      <c r="D210" s="4" t="s">
        <v>1464</v>
      </c>
      <c r="E210" s="4" t="s">
        <v>510</v>
      </c>
      <c r="F210" s="4" t="s">
        <v>278</v>
      </c>
      <c r="G210" s="4" t="s">
        <v>1465</v>
      </c>
      <c r="H210" s="4" t="s">
        <v>668</v>
      </c>
      <c r="I210" s="4" t="s">
        <v>267</v>
      </c>
      <c r="J210" s="4" t="s">
        <v>499</v>
      </c>
      <c r="K210" s="4">
        <v>0</v>
      </c>
      <c r="L210" s="4" t="s">
        <v>1160</v>
      </c>
      <c r="M210" s="4"/>
      <c r="N210" s="4" t="s">
        <v>1050</v>
      </c>
      <c r="O210" s="4" t="s">
        <v>659</v>
      </c>
      <c r="P210" s="4" t="s">
        <v>659</v>
      </c>
      <c r="Q210" s="4"/>
      <c r="R210" s="4"/>
      <c r="S210" s="4"/>
      <c r="T210" s="4"/>
      <c r="U210" s="5">
        <v>46289</v>
      </c>
      <c r="V210" s="4"/>
    </row>
    <row r="211" spans="1:22" x14ac:dyDescent="0.3">
      <c r="A211" s="4">
        <v>210</v>
      </c>
      <c r="B211" s="4">
        <v>7</v>
      </c>
      <c r="C211" s="4" t="s">
        <v>54</v>
      </c>
      <c r="D211" s="4" t="s">
        <v>1466</v>
      </c>
      <c r="E211" s="4" t="s">
        <v>510</v>
      </c>
      <c r="F211" s="4" t="s">
        <v>1467</v>
      </c>
      <c r="G211" s="4" t="s">
        <v>1468</v>
      </c>
      <c r="H211" s="4" t="s">
        <v>668</v>
      </c>
      <c r="I211" s="4" t="s">
        <v>267</v>
      </c>
      <c r="J211" s="4" t="s">
        <v>499</v>
      </c>
      <c r="K211" s="4">
        <v>0</v>
      </c>
      <c r="L211" s="4" t="s">
        <v>1054</v>
      </c>
      <c r="M211" s="4"/>
      <c r="N211" s="4" t="s">
        <v>1050</v>
      </c>
      <c r="O211" s="4" t="s">
        <v>659</v>
      </c>
      <c r="P211" s="4" t="s">
        <v>659</v>
      </c>
      <c r="Q211" s="4"/>
      <c r="R211" s="4"/>
      <c r="S211" s="4"/>
      <c r="T211" s="4"/>
      <c r="U211" s="5">
        <v>46289</v>
      </c>
      <c r="V211" s="4"/>
    </row>
    <row r="212" spans="1:22" x14ac:dyDescent="0.3">
      <c r="A212" s="4">
        <v>211</v>
      </c>
      <c r="B212" s="4">
        <v>7</v>
      </c>
      <c r="C212" s="4" t="s">
        <v>54</v>
      </c>
      <c r="D212" s="4" t="s">
        <v>1469</v>
      </c>
      <c r="E212" s="4" t="s">
        <v>510</v>
      </c>
      <c r="F212" s="4" t="s">
        <v>1470</v>
      </c>
      <c r="G212" s="4" t="s">
        <v>1471</v>
      </c>
      <c r="H212" s="4" t="s">
        <v>668</v>
      </c>
      <c r="I212" s="4" t="s">
        <v>267</v>
      </c>
      <c r="J212" s="4" t="s">
        <v>499</v>
      </c>
      <c r="K212" s="4">
        <v>0</v>
      </c>
      <c r="L212" s="4" t="s">
        <v>1160</v>
      </c>
      <c r="M212" s="4" t="s">
        <v>1472</v>
      </c>
      <c r="N212" s="4" t="s">
        <v>1473</v>
      </c>
      <c r="O212" s="4" t="s">
        <v>659</v>
      </c>
      <c r="P212" s="4" t="s">
        <v>659</v>
      </c>
      <c r="Q212" s="4"/>
      <c r="R212" s="4"/>
      <c r="S212" s="4"/>
      <c r="T212" s="4"/>
      <c r="U212" s="5">
        <v>46289</v>
      </c>
      <c r="V212" s="4"/>
    </row>
    <row r="213" spans="1:22" x14ac:dyDescent="0.3">
      <c r="A213" s="4">
        <v>212</v>
      </c>
      <c r="B213" s="4">
        <v>7</v>
      </c>
      <c r="C213" s="4" t="s">
        <v>54</v>
      </c>
      <c r="D213" s="4" t="s">
        <v>1474</v>
      </c>
      <c r="E213" s="4" t="s">
        <v>510</v>
      </c>
      <c r="F213" s="4" t="s">
        <v>1475</v>
      </c>
      <c r="G213" s="4" t="s">
        <v>1476</v>
      </c>
      <c r="H213" s="4" t="s">
        <v>668</v>
      </c>
      <c r="I213" s="4" t="s">
        <v>267</v>
      </c>
      <c r="J213" s="4" t="s">
        <v>499</v>
      </c>
      <c r="K213" s="4">
        <v>5</v>
      </c>
      <c r="L213" s="4" t="s">
        <v>951</v>
      </c>
      <c r="M213" s="4" t="s">
        <v>1477</v>
      </c>
      <c r="N213" s="4" t="s">
        <v>1478</v>
      </c>
      <c r="O213" s="4" t="s">
        <v>659</v>
      </c>
      <c r="P213" s="4" t="s">
        <v>659</v>
      </c>
      <c r="Q213" s="4"/>
      <c r="R213" s="4"/>
      <c r="S213" s="4"/>
      <c r="T213" s="4"/>
      <c r="U213" s="5">
        <v>46289</v>
      </c>
      <c r="V213" s="4"/>
    </row>
    <row r="214" spans="1:22" x14ac:dyDescent="0.3">
      <c r="A214" s="4">
        <v>213</v>
      </c>
      <c r="B214" s="4">
        <v>7</v>
      </c>
      <c r="C214" s="4" t="s">
        <v>54</v>
      </c>
      <c r="D214" s="4" t="s">
        <v>1479</v>
      </c>
      <c r="E214" s="4" t="s">
        <v>504</v>
      </c>
      <c r="F214" s="4" t="s">
        <v>1480</v>
      </c>
      <c r="G214" s="4" t="s">
        <v>1481</v>
      </c>
      <c r="H214" s="4" t="s">
        <v>668</v>
      </c>
      <c r="I214" s="4" t="s">
        <v>267</v>
      </c>
      <c r="J214" s="4" t="s">
        <v>499</v>
      </c>
      <c r="K214" s="4">
        <v>0</v>
      </c>
      <c r="L214" s="4" t="s">
        <v>888</v>
      </c>
      <c r="M214" s="4"/>
      <c r="N214" s="4" t="s">
        <v>1050</v>
      </c>
      <c r="O214" s="4" t="s">
        <v>659</v>
      </c>
      <c r="P214" s="4" t="s">
        <v>659</v>
      </c>
      <c r="Q214" s="4"/>
      <c r="R214" s="4"/>
      <c r="S214" s="4"/>
      <c r="T214" s="4"/>
      <c r="U214" s="5">
        <v>46289</v>
      </c>
      <c r="V214" s="4"/>
    </row>
    <row r="215" spans="1:22" x14ac:dyDescent="0.3">
      <c r="A215" s="4">
        <v>214</v>
      </c>
      <c r="B215" s="4">
        <v>7</v>
      </c>
      <c r="C215" s="4" t="s">
        <v>54</v>
      </c>
      <c r="D215" s="4" t="s">
        <v>1482</v>
      </c>
      <c r="E215" s="4" t="s">
        <v>207</v>
      </c>
      <c r="F215" s="4" t="s">
        <v>1483</v>
      </c>
      <c r="G215" s="4" t="s">
        <v>1484</v>
      </c>
      <c r="H215" s="4" t="s">
        <v>668</v>
      </c>
      <c r="I215" s="4" t="s">
        <v>267</v>
      </c>
      <c r="J215" s="4" t="s">
        <v>499</v>
      </c>
      <c r="K215" s="4">
        <v>0</v>
      </c>
      <c r="L215" s="4" t="s">
        <v>980</v>
      </c>
      <c r="M215" s="4"/>
      <c r="N215" s="4" t="s">
        <v>1050</v>
      </c>
      <c r="O215" s="4" t="s">
        <v>659</v>
      </c>
      <c r="P215" s="4" t="s">
        <v>659</v>
      </c>
      <c r="Q215" s="4"/>
      <c r="R215" s="4"/>
      <c r="S215" s="4"/>
      <c r="T215" s="4"/>
      <c r="U215" s="5">
        <v>46289</v>
      </c>
      <c r="V215" s="4"/>
    </row>
    <row r="216" spans="1:22" x14ac:dyDescent="0.3">
      <c r="A216" s="4">
        <v>215</v>
      </c>
      <c r="B216" s="4">
        <v>7</v>
      </c>
      <c r="C216" s="4" t="s">
        <v>54</v>
      </c>
      <c r="D216" s="4" t="s">
        <v>1485</v>
      </c>
      <c r="E216" s="4" t="s">
        <v>207</v>
      </c>
      <c r="F216" s="4" t="s">
        <v>1486</v>
      </c>
      <c r="G216" s="4" t="s">
        <v>1487</v>
      </c>
      <c r="H216" s="4" t="s">
        <v>668</v>
      </c>
      <c r="I216" s="4" t="s">
        <v>267</v>
      </c>
      <c r="J216" s="4" t="s">
        <v>499</v>
      </c>
      <c r="K216" s="4">
        <v>0</v>
      </c>
      <c r="L216" s="4" t="s">
        <v>1454</v>
      </c>
      <c r="M216" s="4"/>
      <c r="N216" s="4" t="s">
        <v>1050</v>
      </c>
      <c r="O216" s="4" t="s">
        <v>659</v>
      </c>
      <c r="P216" s="4" t="s">
        <v>659</v>
      </c>
      <c r="Q216" s="4"/>
      <c r="R216" s="4"/>
      <c r="S216" s="4"/>
      <c r="T216" s="4"/>
      <c r="U216" s="5">
        <v>46289</v>
      </c>
      <c r="V216" s="4"/>
    </row>
    <row r="217" spans="1:22" x14ac:dyDescent="0.3">
      <c r="A217" s="4">
        <v>216</v>
      </c>
      <c r="B217" s="4">
        <v>7</v>
      </c>
      <c r="C217" s="4" t="s">
        <v>54</v>
      </c>
      <c r="D217" s="4" t="s">
        <v>1488</v>
      </c>
      <c r="E217" s="4" t="s">
        <v>207</v>
      </c>
      <c r="F217" s="4" t="s">
        <v>302</v>
      </c>
      <c r="G217" s="4" t="s">
        <v>1489</v>
      </c>
      <c r="H217" s="4" t="s">
        <v>668</v>
      </c>
      <c r="I217" s="4" t="s">
        <v>267</v>
      </c>
      <c r="J217" s="4" t="s">
        <v>499</v>
      </c>
      <c r="K217" s="4">
        <v>0</v>
      </c>
      <c r="L217" s="4"/>
      <c r="M217" s="4"/>
      <c r="N217" s="4" t="s">
        <v>1490</v>
      </c>
      <c r="O217" s="4" t="s">
        <v>659</v>
      </c>
      <c r="P217" s="4" t="s">
        <v>659</v>
      </c>
      <c r="Q217" s="4"/>
      <c r="R217" s="4"/>
      <c r="S217" s="4"/>
      <c r="T217" s="4"/>
      <c r="U217" s="5">
        <v>46289</v>
      </c>
      <c r="V217" s="4"/>
    </row>
    <row r="218" spans="1:22" x14ac:dyDescent="0.3">
      <c r="A218" s="4">
        <v>217</v>
      </c>
      <c r="B218" s="4">
        <v>7</v>
      </c>
      <c r="C218" s="4" t="s">
        <v>54</v>
      </c>
      <c r="D218" s="4" t="s">
        <v>1491</v>
      </c>
      <c r="E218" s="4" t="s">
        <v>207</v>
      </c>
      <c r="F218" s="4" t="s">
        <v>305</v>
      </c>
      <c r="G218" s="4" t="s">
        <v>1492</v>
      </c>
      <c r="H218" s="4" t="s">
        <v>668</v>
      </c>
      <c r="I218" s="4" t="s">
        <v>267</v>
      </c>
      <c r="J218" s="4" t="s">
        <v>499</v>
      </c>
      <c r="K218" s="4">
        <v>10</v>
      </c>
      <c r="L218" s="4" t="s">
        <v>1488</v>
      </c>
      <c r="M218" s="4" t="s">
        <v>1493</v>
      </c>
      <c r="N218" s="4" t="s">
        <v>1050</v>
      </c>
      <c r="O218" s="4" t="s">
        <v>659</v>
      </c>
      <c r="P218" s="4" t="s">
        <v>659</v>
      </c>
      <c r="Q218" s="4"/>
      <c r="R218" s="4"/>
      <c r="S218" s="4"/>
      <c r="T218" s="4"/>
      <c r="U218" s="5">
        <v>46289</v>
      </c>
      <c r="V218" s="4"/>
    </row>
    <row r="219" spans="1:22" x14ac:dyDescent="0.3">
      <c r="A219" s="4">
        <v>218</v>
      </c>
      <c r="B219" s="4">
        <v>7</v>
      </c>
      <c r="C219" s="4" t="s">
        <v>54</v>
      </c>
      <c r="D219" s="4" t="s">
        <v>1494</v>
      </c>
      <c r="E219" s="4" t="s">
        <v>135</v>
      </c>
      <c r="F219" s="4" t="s">
        <v>308</v>
      </c>
      <c r="G219" s="4" t="s">
        <v>1495</v>
      </c>
      <c r="H219" s="4" t="s">
        <v>668</v>
      </c>
      <c r="I219" s="4" t="s">
        <v>267</v>
      </c>
      <c r="J219" s="4" t="s">
        <v>499</v>
      </c>
      <c r="K219" s="4">
        <v>0</v>
      </c>
      <c r="L219" s="4" t="s">
        <v>1491</v>
      </c>
      <c r="M219" s="4" t="s">
        <v>1496</v>
      </c>
      <c r="N219" s="4" t="s">
        <v>1050</v>
      </c>
      <c r="O219" s="4" t="s">
        <v>659</v>
      </c>
      <c r="P219" s="4" t="s">
        <v>659</v>
      </c>
      <c r="Q219" s="4"/>
      <c r="R219" s="4"/>
      <c r="S219" s="4"/>
      <c r="T219" s="4"/>
      <c r="U219" s="5">
        <v>46289</v>
      </c>
      <c r="V219" s="4"/>
    </row>
    <row r="220" spans="1:22" x14ac:dyDescent="0.3">
      <c r="A220" s="4">
        <v>219</v>
      </c>
      <c r="B220" s="4">
        <v>7</v>
      </c>
      <c r="C220" s="4" t="s">
        <v>54</v>
      </c>
      <c r="D220" s="4" t="s">
        <v>1497</v>
      </c>
      <c r="E220" s="4" t="s">
        <v>505</v>
      </c>
      <c r="F220" s="4" t="s">
        <v>1498</v>
      </c>
      <c r="G220" s="4" t="s">
        <v>1499</v>
      </c>
      <c r="H220" s="4" t="s">
        <v>668</v>
      </c>
      <c r="I220" s="4" t="s">
        <v>267</v>
      </c>
      <c r="J220" s="4" t="s">
        <v>499</v>
      </c>
      <c r="K220" s="4">
        <v>0</v>
      </c>
      <c r="L220" s="4"/>
      <c r="M220" s="4"/>
      <c r="N220" s="4" t="s">
        <v>1500</v>
      </c>
      <c r="O220" s="4" t="s">
        <v>659</v>
      </c>
      <c r="P220" s="4" t="s">
        <v>659</v>
      </c>
      <c r="Q220" s="4"/>
      <c r="R220" s="4"/>
      <c r="S220" s="4"/>
      <c r="T220" s="4"/>
      <c r="U220" s="5">
        <v>46289</v>
      </c>
      <c r="V220" s="4"/>
    </row>
    <row r="221" spans="1:22" x14ac:dyDescent="0.3">
      <c r="A221" s="4">
        <v>220</v>
      </c>
      <c r="B221" s="4">
        <v>7</v>
      </c>
      <c r="C221" s="4" t="s">
        <v>54</v>
      </c>
      <c r="D221" s="4" t="s">
        <v>1501</v>
      </c>
      <c r="E221" s="4" t="s">
        <v>514</v>
      </c>
      <c r="F221" s="4" t="s">
        <v>1502</v>
      </c>
      <c r="G221" s="4" t="s">
        <v>1503</v>
      </c>
      <c r="H221" s="4" t="s">
        <v>668</v>
      </c>
      <c r="I221" s="4" t="s">
        <v>267</v>
      </c>
      <c r="J221" s="4" t="s">
        <v>499</v>
      </c>
      <c r="K221" s="4">
        <v>0</v>
      </c>
      <c r="L221" s="4"/>
      <c r="M221" s="4"/>
      <c r="N221" s="4" t="s">
        <v>1504</v>
      </c>
      <c r="O221" s="4" t="s">
        <v>659</v>
      </c>
      <c r="P221" s="4" t="s">
        <v>659</v>
      </c>
      <c r="Q221" s="4"/>
      <c r="R221" s="4"/>
      <c r="S221" s="4"/>
      <c r="T221" s="4"/>
      <c r="U221" s="5">
        <v>46289</v>
      </c>
      <c r="V221" s="4"/>
    </row>
    <row r="222" spans="1:22" x14ac:dyDescent="0.3">
      <c r="A222" s="4">
        <v>221</v>
      </c>
      <c r="B222" s="4">
        <v>7</v>
      </c>
      <c r="C222" s="4" t="s">
        <v>54</v>
      </c>
      <c r="D222" s="4" t="s">
        <v>1505</v>
      </c>
      <c r="E222" s="4" t="s">
        <v>514</v>
      </c>
      <c r="F222" s="4" t="s">
        <v>1506</v>
      </c>
      <c r="G222" s="4" t="s">
        <v>1507</v>
      </c>
      <c r="H222" s="4" t="s">
        <v>668</v>
      </c>
      <c r="I222" s="4" t="s">
        <v>267</v>
      </c>
      <c r="J222" s="4" t="s">
        <v>499</v>
      </c>
      <c r="K222" s="4">
        <v>0</v>
      </c>
      <c r="L222" s="4" t="s">
        <v>1501</v>
      </c>
      <c r="M222" s="4"/>
      <c r="N222" s="4" t="s">
        <v>1508</v>
      </c>
      <c r="O222" s="4" t="s">
        <v>659</v>
      </c>
      <c r="P222" s="4" t="s">
        <v>659</v>
      </c>
      <c r="Q222" s="4"/>
      <c r="R222" s="4"/>
      <c r="S222" s="4"/>
      <c r="T222" s="4"/>
      <c r="U222" s="5">
        <v>46289</v>
      </c>
      <c r="V222" s="4"/>
    </row>
    <row r="223" spans="1:22" x14ac:dyDescent="0.3">
      <c r="A223" s="4">
        <v>222</v>
      </c>
      <c r="B223" s="4">
        <v>7</v>
      </c>
      <c r="C223" s="4" t="s">
        <v>54</v>
      </c>
      <c r="D223" s="4" t="s">
        <v>1509</v>
      </c>
      <c r="E223" s="4" t="s">
        <v>505</v>
      </c>
      <c r="F223" s="4" t="s">
        <v>317</v>
      </c>
      <c r="G223" s="4" t="s">
        <v>1510</v>
      </c>
      <c r="H223" s="4" t="s">
        <v>668</v>
      </c>
      <c r="I223" s="4" t="s">
        <v>267</v>
      </c>
      <c r="J223" s="4" t="s">
        <v>499</v>
      </c>
      <c r="K223" s="4">
        <v>5</v>
      </c>
      <c r="L223" s="4"/>
      <c r="M223" s="4" t="s">
        <v>1511</v>
      </c>
      <c r="N223" s="4" t="s">
        <v>1512</v>
      </c>
      <c r="O223" s="4" t="s">
        <v>659</v>
      </c>
      <c r="P223" s="4" t="s">
        <v>659</v>
      </c>
      <c r="Q223" s="4"/>
      <c r="R223" s="4"/>
      <c r="S223" s="4"/>
      <c r="T223" s="4"/>
      <c r="U223" s="5">
        <v>46289</v>
      </c>
      <c r="V223" s="4"/>
    </row>
    <row r="224" spans="1:22" x14ac:dyDescent="0.3">
      <c r="A224" s="4">
        <v>223</v>
      </c>
      <c r="B224" s="4">
        <v>7</v>
      </c>
      <c r="C224" s="4" t="s">
        <v>54</v>
      </c>
      <c r="D224" s="4" t="s">
        <v>1513</v>
      </c>
      <c r="E224" s="4" t="s">
        <v>505</v>
      </c>
      <c r="F224" s="4" t="s">
        <v>320</v>
      </c>
      <c r="G224" s="4" t="s">
        <v>1514</v>
      </c>
      <c r="H224" s="4" t="s">
        <v>538</v>
      </c>
      <c r="I224" s="4" t="s">
        <v>267</v>
      </c>
      <c r="J224" s="4" t="s">
        <v>499</v>
      </c>
      <c r="K224" s="4">
        <v>0</v>
      </c>
      <c r="L224" s="4"/>
      <c r="M224" s="4" t="s">
        <v>1515</v>
      </c>
      <c r="N224" s="4" t="s">
        <v>1516</v>
      </c>
      <c r="O224" s="4" t="s">
        <v>659</v>
      </c>
      <c r="P224" s="4" t="s">
        <v>659</v>
      </c>
      <c r="Q224" s="4"/>
      <c r="R224" s="4"/>
      <c r="S224" s="4"/>
      <c r="T224" s="4"/>
      <c r="U224" s="5">
        <v>46289</v>
      </c>
      <c r="V224" s="4"/>
    </row>
    <row r="225" spans="1:22" x14ac:dyDescent="0.3">
      <c r="A225" s="4">
        <v>224</v>
      </c>
      <c r="B225" s="4">
        <v>8</v>
      </c>
      <c r="C225" s="4" t="s">
        <v>65</v>
      </c>
      <c r="D225" s="4" t="s">
        <v>1517</v>
      </c>
      <c r="E225" s="4" t="s">
        <v>113</v>
      </c>
      <c r="F225" s="4" t="s">
        <v>1518</v>
      </c>
      <c r="G225" s="4" t="s">
        <v>1519</v>
      </c>
      <c r="H225" s="4" t="s">
        <v>668</v>
      </c>
      <c r="I225" s="4" t="s">
        <v>51</v>
      </c>
      <c r="J225" s="4" t="s">
        <v>499</v>
      </c>
      <c r="K225" s="4">
        <v>0</v>
      </c>
      <c r="L225" s="4" t="s">
        <v>1520</v>
      </c>
      <c r="M225" s="4"/>
      <c r="N225" s="4" t="s">
        <v>1050</v>
      </c>
      <c r="O225" s="4" t="s">
        <v>659</v>
      </c>
      <c r="P225" s="4" t="s">
        <v>659</v>
      </c>
      <c r="Q225" s="4"/>
      <c r="R225" s="4"/>
      <c r="S225" s="4"/>
      <c r="T225" s="4"/>
      <c r="U225" s="5">
        <v>46289</v>
      </c>
      <c r="V225" s="4"/>
    </row>
    <row r="226" spans="1:22" x14ac:dyDescent="0.3">
      <c r="A226" s="4">
        <v>225</v>
      </c>
      <c r="B226" s="4">
        <v>8</v>
      </c>
      <c r="C226" s="4" t="s">
        <v>65</v>
      </c>
      <c r="D226" s="4" t="s">
        <v>382</v>
      </c>
      <c r="E226" s="4" t="s">
        <v>506</v>
      </c>
      <c r="F226" s="4" t="s">
        <v>1521</v>
      </c>
      <c r="G226" s="4" t="s">
        <v>1522</v>
      </c>
      <c r="H226" s="4" t="s">
        <v>538</v>
      </c>
      <c r="I226" s="4" t="s">
        <v>51</v>
      </c>
      <c r="J226" s="4" t="s">
        <v>499</v>
      </c>
      <c r="K226" s="4">
        <v>5</v>
      </c>
      <c r="L226" s="4" t="s">
        <v>944</v>
      </c>
      <c r="M226" s="4"/>
      <c r="N226" s="4" t="s">
        <v>1523</v>
      </c>
      <c r="O226" s="4" t="s">
        <v>659</v>
      </c>
      <c r="P226" s="4" t="s">
        <v>659</v>
      </c>
      <c r="Q226" s="4"/>
      <c r="R226" s="4"/>
      <c r="S226" s="4"/>
      <c r="T226" s="4"/>
      <c r="U226" s="5">
        <v>46289</v>
      </c>
      <c r="V226" s="4"/>
    </row>
    <row r="227" spans="1:22" x14ac:dyDescent="0.3">
      <c r="A227" s="4">
        <v>226</v>
      </c>
      <c r="B227" s="4">
        <v>8</v>
      </c>
      <c r="C227" s="4" t="s">
        <v>65</v>
      </c>
      <c r="D227" s="4" t="s">
        <v>1524</v>
      </c>
      <c r="E227" s="4" t="s">
        <v>232</v>
      </c>
      <c r="F227" s="4" t="s">
        <v>371</v>
      </c>
      <c r="G227" s="4" t="s">
        <v>1525</v>
      </c>
      <c r="H227" s="4" t="s">
        <v>538</v>
      </c>
      <c r="I227" s="4" t="s">
        <v>51</v>
      </c>
      <c r="J227" s="4" t="s">
        <v>499</v>
      </c>
      <c r="K227" s="4">
        <v>5</v>
      </c>
      <c r="L227" s="4"/>
      <c r="M227" s="4" t="s">
        <v>1526</v>
      </c>
      <c r="N227" s="4" t="s">
        <v>1527</v>
      </c>
      <c r="O227" s="4" t="s">
        <v>659</v>
      </c>
      <c r="P227" s="4" t="s">
        <v>659</v>
      </c>
      <c r="Q227" s="4"/>
      <c r="R227" s="4"/>
      <c r="S227" s="4"/>
      <c r="T227" s="4"/>
      <c r="U227" s="5">
        <v>46289</v>
      </c>
      <c r="V227" s="4"/>
    </row>
    <row r="228" spans="1:22" x14ac:dyDescent="0.3">
      <c r="A228" s="4">
        <v>227</v>
      </c>
      <c r="B228" s="4">
        <v>8</v>
      </c>
      <c r="C228" s="4" t="s">
        <v>65</v>
      </c>
      <c r="D228" s="4" t="s">
        <v>1528</v>
      </c>
      <c r="E228" s="4" t="s">
        <v>515</v>
      </c>
      <c r="F228" s="4" t="s">
        <v>1529</v>
      </c>
      <c r="G228" s="4" t="s">
        <v>1530</v>
      </c>
      <c r="H228" s="4" t="s">
        <v>538</v>
      </c>
      <c r="I228" s="4" t="s">
        <v>267</v>
      </c>
      <c r="J228" s="4" t="s">
        <v>497</v>
      </c>
      <c r="K228" s="4">
        <v>30</v>
      </c>
      <c r="L228" s="4"/>
      <c r="M228" s="4" t="s">
        <v>1531</v>
      </c>
      <c r="N228" s="4" t="s">
        <v>1532</v>
      </c>
      <c r="O228" s="4" t="s">
        <v>659</v>
      </c>
      <c r="P228" s="4" t="s">
        <v>659</v>
      </c>
      <c r="Q228" s="4"/>
      <c r="R228" s="4"/>
      <c r="S228" s="4"/>
      <c r="T228" s="4"/>
      <c r="U228" s="5">
        <v>46289</v>
      </c>
      <c r="V228" s="4"/>
    </row>
    <row r="229" spans="1:22" x14ac:dyDescent="0.3">
      <c r="A229" s="4">
        <v>228</v>
      </c>
      <c r="B229" s="4">
        <v>8</v>
      </c>
      <c r="C229" s="4" t="s">
        <v>65</v>
      </c>
      <c r="D229" s="4" t="s">
        <v>1533</v>
      </c>
      <c r="E229" s="4" t="s">
        <v>515</v>
      </c>
      <c r="F229" s="4" t="s">
        <v>1534</v>
      </c>
      <c r="G229" s="4" t="s">
        <v>1535</v>
      </c>
      <c r="H229" s="4" t="s">
        <v>538</v>
      </c>
      <c r="I229" s="4" t="s">
        <v>267</v>
      </c>
      <c r="J229" s="4" t="s">
        <v>499</v>
      </c>
      <c r="K229" s="4">
        <v>5</v>
      </c>
      <c r="L229" s="4"/>
      <c r="M229" s="4"/>
      <c r="N229" s="4" t="s">
        <v>1536</v>
      </c>
      <c r="O229" s="4" t="s">
        <v>659</v>
      </c>
      <c r="P229" s="4" t="s">
        <v>659</v>
      </c>
      <c r="Q229" s="4"/>
      <c r="R229" s="4"/>
      <c r="S229" s="4"/>
      <c r="T229" s="4"/>
      <c r="U229" s="5">
        <v>46289</v>
      </c>
      <c r="V229" s="4"/>
    </row>
    <row r="230" spans="1:22" x14ac:dyDescent="0.3">
      <c r="A230" s="4">
        <v>229</v>
      </c>
      <c r="B230" s="4">
        <v>8</v>
      </c>
      <c r="C230" s="4" t="s">
        <v>65</v>
      </c>
      <c r="D230" s="4" t="s">
        <v>379</v>
      </c>
      <c r="E230" s="4" t="s">
        <v>506</v>
      </c>
      <c r="F230" s="4" t="s">
        <v>1537</v>
      </c>
      <c r="G230" s="4" t="s">
        <v>1538</v>
      </c>
      <c r="H230" s="4" t="s">
        <v>538</v>
      </c>
      <c r="I230" s="4" t="s">
        <v>51</v>
      </c>
      <c r="J230" s="4" t="s">
        <v>497</v>
      </c>
      <c r="K230" s="4">
        <v>15</v>
      </c>
      <c r="L230" s="4"/>
      <c r="M230" s="4" t="s">
        <v>1539</v>
      </c>
      <c r="N230" s="4" t="s">
        <v>1540</v>
      </c>
      <c r="O230" s="4" t="s">
        <v>1541</v>
      </c>
      <c r="P230" s="4" t="s">
        <v>1542</v>
      </c>
      <c r="Q230" s="4"/>
      <c r="R230" s="4"/>
      <c r="S230" s="4"/>
      <c r="T230" s="4"/>
      <c r="U230" s="5">
        <v>46289</v>
      </c>
      <c r="V230" s="4"/>
    </row>
    <row r="231" spans="1:22" x14ac:dyDescent="0.3">
      <c r="A231" s="4">
        <v>230</v>
      </c>
      <c r="B231" s="4">
        <v>9</v>
      </c>
      <c r="C231" s="4" t="s">
        <v>502</v>
      </c>
      <c r="D231" s="4" t="s">
        <v>323</v>
      </c>
      <c r="E231" s="4" t="s">
        <v>1543</v>
      </c>
      <c r="F231" s="4" t="s">
        <v>324</v>
      </c>
      <c r="G231" s="4" t="s">
        <v>1544</v>
      </c>
      <c r="H231" s="4" t="s">
        <v>1545</v>
      </c>
      <c r="I231" s="4" t="s">
        <v>26</v>
      </c>
      <c r="J231" s="4" t="s">
        <v>499</v>
      </c>
      <c r="K231" s="4">
        <v>0</v>
      </c>
      <c r="L231" s="4" t="s">
        <v>379</v>
      </c>
      <c r="M231" s="4" t="s">
        <v>1546</v>
      </c>
      <c r="N231" s="4" t="s">
        <v>1547</v>
      </c>
      <c r="O231" s="4" t="s">
        <v>659</v>
      </c>
      <c r="P231" s="4" t="s">
        <v>1548</v>
      </c>
      <c r="Q231" s="4"/>
      <c r="R231" s="4"/>
      <c r="S231" s="4"/>
      <c r="T231" s="4"/>
      <c r="U231" s="5">
        <v>46289</v>
      </c>
      <c r="V231" s="4"/>
    </row>
    <row r="232" spans="1:22" x14ac:dyDescent="0.3">
      <c r="A232" s="4">
        <v>231</v>
      </c>
      <c r="B232" s="4">
        <v>9</v>
      </c>
      <c r="C232" s="4" t="s">
        <v>502</v>
      </c>
      <c r="D232" s="4" t="s">
        <v>1549</v>
      </c>
      <c r="E232" s="4" t="s">
        <v>127</v>
      </c>
      <c r="F232" s="4" t="s">
        <v>1550</v>
      </c>
      <c r="G232" s="4" t="s">
        <v>1551</v>
      </c>
      <c r="H232" s="4" t="s">
        <v>1545</v>
      </c>
      <c r="I232" s="4" t="s">
        <v>26</v>
      </c>
      <c r="J232" s="4" t="s">
        <v>499</v>
      </c>
      <c r="K232" s="4">
        <v>0</v>
      </c>
      <c r="L232" s="4" t="s">
        <v>323</v>
      </c>
      <c r="M232" s="4" t="s">
        <v>1552</v>
      </c>
      <c r="N232" s="4" t="s">
        <v>1553</v>
      </c>
      <c r="O232" s="4" t="s">
        <v>659</v>
      </c>
      <c r="P232" s="4" t="s">
        <v>1554</v>
      </c>
      <c r="Q232" s="4"/>
      <c r="R232" s="4"/>
      <c r="S232" s="4"/>
      <c r="T232" s="4"/>
      <c r="U232" s="5">
        <v>46289</v>
      </c>
      <c r="V232" s="4"/>
    </row>
    <row r="233" spans="1:22" x14ac:dyDescent="0.3">
      <c r="A233" s="4">
        <v>232</v>
      </c>
      <c r="B233" s="4">
        <v>9</v>
      </c>
      <c r="C233" s="4" t="s">
        <v>502</v>
      </c>
      <c r="D233" s="4" t="s">
        <v>1555</v>
      </c>
      <c r="E233" s="4" t="s">
        <v>232</v>
      </c>
      <c r="F233" s="4" t="s">
        <v>1556</v>
      </c>
      <c r="G233" s="4" t="s">
        <v>1557</v>
      </c>
      <c r="H233" s="4" t="s">
        <v>1545</v>
      </c>
      <c r="I233" s="4" t="s">
        <v>26</v>
      </c>
      <c r="J233" s="4" t="s">
        <v>499</v>
      </c>
      <c r="K233" s="4">
        <v>0</v>
      </c>
      <c r="L233" s="4" t="s">
        <v>323</v>
      </c>
      <c r="M233" s="4" t="s">
        <v>1558</v>
      </c>
      <c r="N233" s="4" t="s">
        <v>1559</v>
      </c>
      <c r="O233" s="4" t="s">
        <v>659</v>
      </c>
      <c r="P233" s="4" t="s">
        <v>1560</v>
      </c>
      <c r="Q233" s="4"/>
      <c r="R233" s="4"/>
      <c r="S233" s="4"/>
      <c r="T233" s="4"/>
      <c r="U233" s="5">
        <v>46289</v>
      </c>
      <c r="V233" s="4"/>
    </row>
    <row r="234" spans="1:22" x14ac:dyDescent="0.3">
      <c r="A234" s="4">
        <v>233</v>
      </c>
      <c r="B234" s="4">
        <v>9</v>
      </c>
      <c r="C234" s="4" t="s">
        <v>502</v>
      </c>
      <c r="D234" s="4" t="s">
        <v>326</v>
      </c>
      <c r="E234" s="4" t="s">
        <v>232</v>
      </c>
      <c r="F234" s="4" t="s">
        <v>1561</v>
      </c>
      <c r="G234" s="4" t="s">
        <v>1562</v>
      </c>
      <c r="H234" s="4" t="s">
        <v>1545</v>
      </c>
      <c r="I234" s="4" t="s">
        <v>26</v>
      </c>
      <c r="J234" s="4" t="s">
        <v>499</v>
      </c>
      <c r="K234" s="4">
        <v>0</v>
      </c>
      <c r="L234" s="4" t="s">
        <v>1555</v>
      </c>
      <c r="M234" s="4" t="s">
        <v>1563</v>
      </c>
      <c r="N234" s="4" t="s">
        <v>1564</v>
      </c>
      <c r="O234" s="4" t="s">
        <v>659</v>
      </c>
      <c r="P234" s="4" t="s">
        <v>1565</v>
      </c>
      <c r="Q234" s="4"/>
      <c r="R234" s="4"/>
      <c r="S234" s="4"/>
      <c r="T234" s="4"/>
      <c r="U234" s="5">
        <v>46289</v>
      </c>
      <c r="V234" s="4"/>
    </row>
    <row r="235" spans="1:22" x14ac:dyDescent="0.3">
      <c r="A235" s="4">
        <v>234</v>
      </c>
      <c r="B235" s="4">
        <v>9</v>
      </c>
      <c r="C235" s="4" t="s">
        <v>502</v>
      </c>
      <c r="D235" s="4" t="s">
        <v>1566</v>
      </c>
      <c r="E235" s="4" t="s">
        <v>232</v>
      </c>
      <c r="F235" s="4" t="s">
        <v>1567</v>
      </c>
      <c r="G235" s="4" t="s">
        <v>1568</v>
      </c>
      <c r="H235" s="4" t="s">
        <v>1545</v>
      </c>
      <c r="I235" s="4" t="s">
        <v>26</v>
      </c>
      <c r="J235" s="4" t="s">
        <v>499</v>
      </c>
      <c r="K235" s="4">
        <v>0</v>
      </c>
      <c r="L235" s="4" t="s">
        <v>326</v>
      </c>
      <c r="M235" s="4" t="s">
        <v>1569</v>
      </c>
      <c r="N235" s="4" t="s">
        <v>1050</v>
      </c>
      <c r="O235" s="4" t="s">
        <v>659</v>
      </c>
      <c r="P235" s="4" t="s">
        <v>1565</v>
      </c>
      <c r="Q235" s="4"/>
      <c r="R235" s="4"/>
      <c r="S235" s="4"/>
      <c r="T235" s="4"/>
      <c r="U235" s="5">
        <v>46289</v>
      </c>
      <c r="V235" s="4"/>
    </row>
    <row r="236" spans="1:22" x14ac:dyDescent="0.3">
      <c r="A236" s="4">
        <v>235</v>
      </c>
      <c r="B236" s="4">
        <v>9</v>
      </c>
      <c r="C236" s="4" t="s">
        <v>502</v>
      </c>
      <c r="D236" s="4" t="s">
        <v>329</v>
      </c>
      <c r="E236" s="4" t="s">
        <v>1570</v>
      </c>
      <c r="F236" s="4" t="s">
        <v>1571</v>
      </c>
      <c r="G236" s="4" t="s">
        <v>1572</v>
      </c>
      <c r="H236" s="4" t="s">
        <v>1545</v>
      </c>
      <c r="I236" s="4" t="s">
        <v>26</v>
      </c>
      <c r="J236" s="4" t="s">
        <v>499</v>
      </c>
      <c r="K236" s="4">
        <v>0</v>
      </c>
      <c r="L236" s="4" t="s">
        <v>326</v>
      </c>
      <c r="M236" s="4"/>
      <c r="N236" s="4" t="s">
        <v>1050</v>
      </c>
      <c r="O236" s="4" t="s">
        <v>659</v>
      </c>
      <c r="P236" s="4" t="s">
        <v>1565</v>
      </c>
      <c r="Q236" s="4"/>
      <c r="R236" s="4"/>
      <c r="S236" s="4"/>
      <c r="T236" s="4"/>
      <c r="U236" s="5">
        <v>46289</v>
      </c>
      <c r="V236" s="4"/>
    </row>
    <row r="237" spans="1:22" x14ac:dyDescent="0.3">
      <c r="A237" s="4">
        <v>236</v>
      </c>
      <c r="B237" s="4">
        <v>9</v>
      </c>
      <c r="C237" s="4" t="s">
        <v>502</v>
      </c>
      <c r="D237" s="4" t="s">
        <v>332</v>
      </c>
      <c r="E237" s="4" t="s">
        <v>1570</v>
      </c>
      <c r="F237" s="4" t="s">
        <v>1573</v>
      </c>
      <c r="G237" s="4" t="s">
        <v>1574</v>
      </c>
      <c r="H237" s="4" t="s">
        <v>1545</v>
      </c>
      <c r="I237" s="4" t="s">
        <v>26</v>
      </c>
      <c r="J237" s="4" t="s">
        <v>499</v>
      </c>
      <c r="K237" s="4">
        <v>0</v>
      </c>
      <c r="L237" s="4" t="s">
        <v>329</v>
      </c>
      <c r="M237" s="4"/>
      <c r="N237" s="4" t="s">
        <v>1050</v>
      </c>
      <c r="O237" s="4" t="s">
        <v>659</v>
      </c>
      <c r="P237" s="4" t="s">
        <v>1565</v>
      </c>
      <c r="Q237" s="4"/>
      <c r="R237" s="4"/>
      <c r="S237" s="4"/>
      <c r="T237" s="4"/>
      <c r="U237" s="5">
        <v>46289</v>
      </c>
      <c r="V237" s="4"/>
    </row>
    <row r="238" spans="1:22" x14ac:dyDescent="0.3">
      <c r="A238" s="4">
        <v>237</v>
      </c>
      <c r="B238" s="4">
        <v>9</v>
      </c>
      <c r="C238" s="4" t="s">
        <v>502</v>
      </c>
      <c r="D238" s="4" t="s">
        <v>335</v>
      </c>
      <c r="E238" s="4" t="s">
        <v>232</v>
      </c>
      <c r="F238" s="4" t="s">
        <v>1575</v>
      </c>
      <c r="G238" s="4" t="s">
        <v>1576</v>
      </c>
      <c r="H238" s="4" t="s">
        <v>1545</v>
      </c>
      <c r="I238" s="4" t="s">
        <v>26</v>
      </c>
      <c r="J238" s="4" t="s">
        <v>499</v>
      </c>
      <c r="K238" s="4">
        <v>0</v>
      </c>
      <c r="L238" s="4" t="s">
        <v>326</v>
      </c>
      <c r="M238" s="4" t="s">
        <v>1577</v>
      </c>
      <c r="N238" s="4" t="s">
        <v>1578</v>
      </c>
      <c r="O238" s="4" t="s">
        <v>659</v>
      </c>
      <c r="P238" s="4" t="s">
        <v>659</v>
      </c>
      <c r="Q238" s="4"/>
      <c r="R238" s="4"/>
      <c r="S238" s="4"/>
      <c r="T238" s="4"/>
      <c r="U238" s="5">
        <v>46289</v>
      </c>
      <c r="V238" s="4"/>
    </row>
    <row r="239" spans="1:22" ht="28.8" x14ac:dyDescent="0.3">
      <c r="A239" s="4">
        <v>238</v>
      </c>
      <c r="B239" s="4">
        <v>9</v>
      </c>
      <c r="C239" s="4" t="s">
        <v>502</v>
      </c>
      <c r="D239" s="4" t="s">
        <v>338</v>
      </c>
      <c r="E239" s="4" t="s">
        <v>1579</v>
      </c>
      <c r="F239" s="4" t="s">
        <v>339</v>
      </c>
      <c r="G239" s="4" t="s">
        <v>1580</v>
      </c>
      <c r="H239" s="4" t="s">
        <v>1545</v>
      </c>
      <c r="I239" s="4" t="s">
        <v>26</v>
      </c>
      <c r="J239" s="4" t="s">
        <v>499</v>
      </c>
      <c r="K239" s="4">
        <v>0</v>
      </c>
      <c r="L239" s="4"/>
      <c r="M239" s="4"/>
      <c r="N239" s="4" t="s">
        <v>1581</v>
      </c>
      <c r="O239" s="4" t="s">
        <v>659</v>
      </c>
      <c r="P239" s="4" t="s">
        <v>1582</v>
      </c>
      <c r="Q239" s="4"/>
      <c r="R239" s="4"/>
      <c r="S239" s="4"/>
      <c r="T239" s="4"/>
      <c r="U239" s="5">
        <v>46289</v>
      </c>
      <c r="V239" s="4"/>
    </row>
    <row r="240" spans="1:22" x14ac:dyDescent="0.3">
      <c r="A240" s="4">
        <v>239</v>
      </c>
      <c r="B240" s="4">
        <v>9</v>
      </c>
      <c r="C240" s="4" t="s">
        <v>502</v>
      </c>
      <c r="D240" s="4" t="s">
        <v>1583</v>
      </c>
      <c r="E240" s="4" t="s">
        <v>232</v>
      </c>
      <c r="F240" s="4" t="s">
        <v>1584</v>
      </c>
      <c r="G240" s="4" t="s">
        <v>1585</v>
      </c>
      <c r="H240" s="4" t="s">
        <v>1545</v>
      </c>
      <c r="I240" s="4" t="s">
        <v>26</v>
      </c>
      <c r="J240" s="4" t="s">
        <v>499</v>
      </c>
      <c r="K240" s="4">
        <v>0</v>
      </c>
      <c r="L240" s="4" t="s">
        <v>338</v>
      </c>
      <c r="M240" s="4"/>
      <c r="N240" s="4" t="s">
        <v>1586</v>
      </c>
      <c r="O240" s="4" t="s">
        <v>659</v>
      </c>
      <c r="P240" s="4" t="s">
        <v>1565</v>
      </c>
      <c r="Q240" s="4"/>
      <c r="R240" s="4"/>
      <c r="S240" s="4"/>
      <c r="T240" s="4"/>
      <c r="U240" s="5">
        <v>46289</v>
      </c>
      <c r="V240" s="4"/>
    </row>
    <row r="241" spans="1:22" x14ac:dyDescent="0.3">
      <c r="A241" s="4">
        <v>240</v>
      </c>
      <c r="B241" s="4">
        <v>9</v>
      </c>
      <c r="C241" s="4" t="s">
        <v>502</v>
      </c>
      <c r="D241" s="4" t="s">
        <v>1587</v>
      </c>
      <c r="E241" s="4" t="s">
        <v>1579</v>
      </c>
      <c r="F241" s="4" t="s">
        <v>1588</v>
      </c>
      <c r="G241" s="4" t="s">
        <v>1589</v>
      </c>
      <c r="H241" s="4" t="s">
        <v>1545</v>
      </c>
      <c r="I241" s="4" t="s">
        <v>51</v>
      </c>
      <c r="J241" s="4" t="s">
        <v>499</v>
      </c>
      <c r="K241" s="4">
        <v>0</v>
      </c>
      <c r="L241" s="4" t="s">
        <v>338</v>
      </c>
      <c r="M241" s="4"/>
      <c r="N241" s="4" t="s">
        <v>1590</v>
      </c>
      <c r="O241" s="4" t="s">
        <v>659</v>
      </c>
      <c r="P241" s="4" t="s">
        <v>1591</v>
      </c>
      <c r="Q241" s="4"/>
      <c r="R241" s="4"/>
      <c r="S241" s="4"/>
      <c r="T241" s="4"/>
      <c r="U241" s="5">
        <v>46289</v>
      </c>
      <c r="V241" s="4"/>
    </row>
    <row r="242" spans="1:22" x14ac:dyDescent="0.3">
      <c r="A242" s="4">
        <v>241</v>
      </c>
      <c r="B242" s="4">
        <v>9</v>
      </c>
      <c r="C242" s="4" t="s">
        <v>502</v>
      </c>
      <c r="D242" s="4" t="s">
        <v>341</v>
      </c>
      <c r="E242" s="4" t="s">
        <v>1592</v>
      </c>
      <c r="F242" s="4" t="s">
        <v>342</v>
      </c>
      <c r="G242" s="4" t="s">
        <v>1593</v>
      </c>
      <c r="H242" s="4" t="s">
        <v>1545</v>
      </c>
      <c r="I242" s="4" t="s">
        <v>26</v>
      </c>
      <c r="J242" s="4" t="s">
        <v>499</v>
      </c>
      <c r="K242" s="4">
        <v>0</v>
      </c>
      <c r="L242" s="4" t="s">
        <v>326</v>
      </c>
      <c r="M242" s="4" t="s">
        <v>1594</v>
      </c>
      <c r="N242" s="4" t="s">
        <v>1595</v>
      </c>
      <c r="O242" s="4" t="s">
        <v>659</v>
      </c>
      <c r="P242" s="4" t="s">
        <v>1554</v>
      </c>
      <c r="Q242" s="4"/>
      <c r="R242" s="4"/>
      <c r="S242" s="4"/>
      <c r="T242" s="4"/>
      <c r="U242" s="5">
        <v>46289</v>
      </c>
      <c r="V242" s="4"/>
    </row>
    <row r="243" spans="1:22" x14ac:dyDescent="0.3">
      <c r="A243" s="4">
        <v>242</v>
      </c>
      <c r="B243" s="4">
        <v>9</v>
      </c>
      <c r="C243" s="4" t="s">
        <v>502</v>
      </c>
      <c r="D243" s="4" t="s">
        <v>357</v>
      </c>
      <c r="E243" s="4" t="s">
        <v>1570</v>
      </c>
      <c r="F243" s="4" t="s">
        <v>1596</v>
      </c>
      <c r="G243" s="4" t="s">
        <v>1597</v>
      </c>
      <c r="H243" s="4" t="s">
        <v>1545</v>
      </c>
      <c r="I243" s="4" t="s">
        <v>51</v>
      </c>
      <c r="J243" s="4" t="s">
        <v>499</v>
      </c>
      <c r="K243" s="4">
        <v>0</v>
      </c>
      <c r="L243" s="4" t="s">
        <v>329</v>
      </c>
      <c r="M243" s="4"/>
      <c r="N243" s="4" t="s">
        <v>1598</v>
      </c>
      <c r="O243" s="4" t="s">
        <v>659</v>
      </c>
      <c r="P243" s="4" t="s">
        <v>1565</v>
      </c>
      <c r="Q243" s="4"/>
      <c r="R243" s="4"/>
      <c r="S243" s="4"/>
      <c r="T243" s="4"/>
      <c r="U243" s="5">
        <v>46289</v>
      </c>
      <c r="V243" s="4"/>
    </row>
    <row r="244" spans="1:22" x14ac:dyDescent="0.3">
      <c r="A244" s="4">
        <v>243</v>
      </c>
      <c r="B244" s="4">
        <v>9</v>
      </c>
      <c r="C244" s="4" t="s">
        <v>502</v>
      </c>
      <c r="D244" s="4" t="s">
        <v>1599</v>
      </c>
      <c r="E244" s="4" t="s">
        <v>1570</v>
      </c>
      <c r="F244" s="4" t="s">
        <v>1600</v>
      </c>
      <c r="G244" s="4" t="s">
        <v>1601</v>
      </c>
      <c r="H244" s="4" t="s">
        <v>1545</v>
      </c>
      <c r="I244" s="4" t="s">
        <v>267</v>
      </c>
      <c r="J244" s="4" t="s">
        <v>499</v>
      </c>
      <c r="K244" s="4">
        <v>0</v>
      </c>
      <c r="L244" s="4" t="s">
        <v>1566</v>
      </c>
      <c r="M244" s="4"/>
      <c r="N244" s="4" t="s">
        <v>1050</v>
      </c>
      <c r="O244" s="4" t="s">
        <v>659</v>
      </c>
      <c r="P244" s="4" t="s">
        <v>1565</v>
      </c>
      <c r="Q244" s="4"/>
      <c r="R244" s="4"/>
      <c r="S244" s="4"/>
      <c r="T244" s="4"/>
      <c r="U244" s="5">
        <v>46289</v>
      </c>
      <c r="V244" s="4"/>
    </row>
    <row r="245" spans="1:22" x14ac:dyDescent="0.3">
      <c r="A245" s="4">
        <v>244</v>
      </c>
      <c r="B245" s="4">
        <v>9</v>
      </c>
      <c r="C245" s="4" t="s">
        <v>502</v>
      </c>
      <c r="D245" s="4" t="s">
        <v>348</v>
      </c>
      <c r="E245" s="4" t="s">
        <v>1592</v>
      </c>
      <c r="F245" s="4" t="s">
        <v>349</v>
      </c>
      <c r="G245" s="4" t="s">
        <v>1602</v>
      </c>
      <c r="H245" s="4" t="s">
        <v>1545</v>
      </c>
      <c r="I245" s="4" t="s">
        <v>51</v>
      </c>
      <c r="J245" s="4" t="s">
        <v>499</v>
      </c>
      <c r="K245" s="4">
        <v>0</v>
      </c>
      <c r="L245" s="4" t="s">
        <v>341</v>
      </c>
      <c r="M245" s="4"/>
      <c r="N245" s="4" t="s">
        <v>1050</v>
      </c>
      <c r="O245" s="4" t="s">
        <v>659</v>
      </c>
      <c r="P245" s="4" t="s">
        <v>1591</v>
      </c>
      <c r="Q245" s="4"/>
      <c r="R245" s="4"/>
      <c r="S245" s="4"/>
      <c r="T245" s="4"/>
      <c r="U245" s="5">
        <v>46289</v>
      </c>
      <c r="V245" s="4"/>
    </row>
    <row r="246" spans="1:22" x14ac:dyDescent="0.3">
      <c r="A246" s="4">
        <v>245</v>
      </c>
      <c r="B246" s="4">
        <v>9</v>
      </c>
      <c r="C246" s="4" t="s">
        <v>502</v>
      </c>
      <c r="D246" s="4" t="s">
        <v>351</v>
      </c>
      <c r="E246" s="4" t="s">
        <v>1592</v>
      </c>
      <c r="F246" s="4" t="s">
        <v>1603</v>
      </c>
      <c r="G246" s="4" t="s">
        <v>1604</v>
      </c>
      <c r="H246" s="4" t="s">
        <v>1545</v>
      </c>
      <c r="I246" s="4" t="s">
        <v>51</v>
      </c>
      <c r="J246" s="4" t="s">
        <v>499</v>
      </c>
      <c r="K246" s="4">
        <v>0</v>
      </c>
      <c r="L246" s="4" t="s">
        <v>348</v>
      </c>
      <c r="M246" s="4" t="s">
        <v>1605</v>
      </c>
      <c r="N246" s="4" t="s">
        <v>1050</v>
      </c>
      <c r="O246" s="4" t="s">
        <v>659</v>
      </c>
      <c r="P246" s="4" t="s">
        <v>1565</v>
      </c>
      <c r="Q246" s="4"/>
      <c r="R246" s="4"/>
      <c r="S246" s="4"/>
      <c r="T246" s="4"/>
      <c r="U246" s="5">
        <v>46289</v>
      </c>
      <c r="V246" s="4"/>
    </row>
    <row r="247" spans="1:22" x14ac:dyDescent="0.3">
      <c r="A247" s="4">
        <v>246</v>
      </c>
      <c r="B247" s="4">
        <v>9</v>
      </c>
      <c r="C247" s="4" t="s">
        <v>502</v>
      </c>
      <c r="D247" s="4" t="s">
        <v>354</v>
      </c>
      <c r="E247" s="4" t="s">
        <v>1592</v>
      </c>
      <c r="F247" s="4" t="s">
        <v>355</v>
      </c>
      <c r="G247" s="4" t="s">
        <v>1606</v>
      </c>
      <c r="H247" s="4" t="s">
        <v>1545</v>
      </c>
      <c r="I247" s="4" t="s">
        <v>51</v>
      </c>
      <c r="J247" s="4" t="s">
        <v>499</v>
      </c>
      <c r="K247" s="4">
        <v>0</v>
      </c>
      <c r="L247" s="4" t="s">
        <v>351</v>
      </c>
      <c r="M247" s="4" t="s">
        <v>1607</v>
      </c>
      <c r="N247" s="4" t="s">
        <v>1050</v>
      </c>
      <c r="O247" s="4" t="s">
        <v>659</v>
      </c>
      <c r="P247" s="4" t="s">
        <v>1565</v>
      </c>
      <c r="Q247" s="4"/>
      <c r="R247" s="4"/>
      <c r="S247" s="4"/>
      <c r="T247" s="4"/>
      <c r="U247" s="5">
        <v>46289</v>
      </c>
      <c r="V247" s="4"/>
    </row>
    <row r="248" spans="1:22" x14ac:dyDescent="0.3">
      <c r="A248" s="4">
        <v>247</v>
      </c>
      <c r="B248" s="4">
        <v>9</v>
      </c>
      <c r="C248" s="4" t="s">
        <v>502</v>
      </c>
      <c r="D248" s="4" t="s">
        <v>1608</v>
      </c>
      <c r="E248" s="4" t="s">
        <v>1592</v>
      </c>
      <c r="F248" s="4" t="s">
        <v>1609</v>
      </c>
      <c r="G248" s="4" t="s">
        <v>1610</v>
      </c>
      <c r="H248" s="4" t="s">
        <v>1545</v>
      </c>
      <c r="I248" s="4" t="s">
        <v>51</v>
      </c>
      <c r="J248" s="4" t="s">
        <v>499</v>
      </c>
      <c r="K248" s="4">
        <v>0</v>
      </c>
      <c r="L248" s="4" t="s">
        <v>345</v>
      </c>
      <c r="M248" s="4"/>
      <c r="N248" s="4" t="s">
        <v>1611</v>
      </c>
      <c r="O248" s="4" t="s">
        <v>659</v>
      </c>
      <c r="P248" s="4" t="s">
        <v>1554</v>
      </c>
      <c r="Q248" s="4"/>
      <c r="R248" s="4"/>
      <c r="S248" s="4"/>
      <c r="T248" s="4"/>
      <c r="U248" s="5">
        <v>46289</v>
      </c>
      <c r="V248" s="4"/>
    </row>
    <row r="249" spans="1:22" x14ac:dyDescent="0.3">
      <c r="A249" s="4">
        <v>248</v>
      </c>
      <c r="B249" s="4">
        <v>9</v>
      </c>
      <c r="C249" s="4" t="s">
        <v>502</v>
      </c>
      <c r="D249" s="4" t="s">
        <v>345</v>
      </c>
      <c r="E249" s="4" t="s">
        <v>515</v>
      </c>
      <c r="F249" s="4" t="s">
        <v>346</v>
      </c>
      <c r="G249" s="4" t="s">
        <v>1612</v>
      </c>
      <c r="H249" s="4" t="s">
        <v>1545</v>
      </c>
      <c r="I249" s="4" t="s">
        <v>26</v>
      </c>
      <c r="J249" s="4" t="s">
        <v>499</v>
      </c>
      <c r="K249" s="4">
        <v>0</v>
      </c>
      <c r="L249" s="4" t="s">
        <v>326</v>
      </c>
      <c r="M249" s="4"/>
      <c r="N249" s="4" t="s">
        <v>1613</v>
      </c>
      <c r="O249" s="4" t="s">
        <v>659</v>
      </c>
      <c r="P249" s="4" t="s">
        <v>1565</v>
      </c>
      <c r="Q249" s="4"/>
      <c r="R249" s="4"/>
      <c r="S249" s="4"/>
      <c r="T249" s="4"/>
      <c r="U249" s="5">
        <v>46289</v>
      </c>
      <c r="V249" s="4"/>
    </row>
    <row r="250" spans="1:22" x14ac:dyDescent="0.3">
      <c r="A250" s="4">
        <v>249</v>
      </c>
      <c r="B250" s="4">
        <v>9</v>
      </c>
      <c r="C250" s="4" t="s">
        <v>502</v>
      </c>
      <c r="D250" s="4" t="s">
        <v>1614</v>
      </c>
      <c r="E250" s="4" t="s">
        <v>515</v>
      </c>
      <c r="F250" s="4" t="s">
        <v>1615</v>
      </c>
      <c r="G250" s="4" t="s">
        <v>1616</v>
      </c>
      <c r="H250" s="4" t="s">
        <v>1545</v>
      </c>
      <c r="I250" s="4" t="s">
        <v>267</v>
      </c>
      <c r="J250" s="4" t="s">
        <v>499</v>
      </c>
      <c r="K250" s="4">
        <v>0</v>
      </c>
      <c r="L250" s="4" t="s">
        <v>345</v>
      </c>
      <c r="M250" s="4"/>
      <c r="N250" s="4" t="s">
        <v>1050</v>
      </c>
      <c r="O250" s="4" t="s">
        <v>659</v>
      </c>
      <c r="P250" s="4" t="s">
        <v>1565</v>
      </c>
      <c r="Q250" s="4"/>
      <c r="R250" s="4"/>
      <c r="S250" s="4"/>
      <c r="T250" s="4"/>
      <c r="U250" s="5">
        <v>46289</v>
      </c>
      <c r="V250" s="4"/>
    </row>
    <row r="251" spans="1:22" x14ac:dyDescent="0.3">
      <c r="A251" s="4">
        <v>250</v>
      </c>
      <c r="B251" s="4">
        <v>9</v>
      </c>
      <c r="C251" s="4" t="s">
        <v>502</v>
      </c>
      <c r="D251" s="4" t="s">
        <v>363</v>
      </c>
      <c r="E251" s="4" t="s">
        <v>85</v>
      </c>
      <c r="F251" s="4" t="s">
        <v>364</v>
      </c>
      <c r="G251" s="4" t="s">
        <v>1617</v>
      </c>
      <c r="H251" s="4" t="s">
        <v>1545</v>
      </c>
      <c r="I251" s="4" t="s">
        <v>51</v>
      </c>
      <c r="J251" s="4" t="s">
        <v>499</v>
      </c>
      <c r="K251" s="4">
        <v>0</v>
      </c>
      <c r="L251" s="4" t="s">
        <v>335</v>
      </c>
      <c r="M251" s="4"/>
      <c r="N251" s="4" t="s">
        <v>1618</v>
      </c>
      <c r="O251" s="4" t="s">
        <v>659</v>
      </c>
      <c r="P251" s="4" t="s">
        <v>1565</v>
      </c>
      <c r="Q251" s="4"/>
      <c r="R251" s="4"/>
      <c r="S251" s="4"/>
      <c r="T251" s="4"/>
      <c r="U251" s="5">
        <v>46289</v>
      </c>
      <c r="V251" s="4"/>
    </row>
    <row r="252" spans="1:22" x14ac:dyDescent="0.3">
      <c r="A252" s="4">
        <v>251</v>
      </c>
      <c r="B252" s="4">
        <v>9</v>
      </c>
      <c r="C252" s="4" t="s">
        <v>502</v>
      </c>
      <c r="D252" s="4" t="s">
        <v>366</v>
      </c>
      <c r="E252" s="4" t="s">
        <v>503</v>
      </c>
      <c r="F252" s="4" t="s">
        <v>367</v>
      </c>
      <c r="G252" s="4" t="s">
        <v>1619</v>
      </c>
      <c r="H252" s="4" t="s">
        <v>1545</v>
      </c>
      <c r="I252" s="4" t="s">
        <v>51</v>
      </c>
      <c r="J252" s="4" t="s">
        <v>499</v>
      </c>
      <c r="K252" s="4">
        <v>0</v>
      </c>
      <c r="L252" s="4" t="s">
        <v>1620</v>
      </c>
      <c r="M252" s="4"/>
      <c r="N252" s="4" t="s">
        <v>1621</v>
      </c>
      <c r="O252" s="4" t="s">
        <v>659</v>
      </c>
      <c r="P252" s="4" t="s">
        <v>1565</v>
      </c>
      <c r="Q252" s="4"/>
      <c r="R252" s="4"/>
      <c r="S252" s="4"/>
      <c r="T252" s="4"/>
      <c r="U252" s="5">
        <v>46289</v>
      </c>
      <c r="V252" s="4"/>
    </row>
    <row r="253" spans="1:22" x14ac:dyDescent="0.3">
      <c r="A253" s="4">
        <v>252</v>
      </c>
      <c r="B253" s="4">
        <v>9</v>
      </c>
      <c r="C253" s="4" t="s">
        <v>502</v>
      </c>
      <c r="D253" s="4" t="s">
        <v>1622</v>
      </c>
      <c r="E253" s="4" t="s">
        <v>207</v>
      </c>
      <c r="F253" s="4" t="s">
        <v>1623</v>
      </c>
      <c r="G253" s="4" t="s">
        <v>1624</v>
      </c>
      <c r="H253" s="4" t="s">
        <v>1545</v>
      </c>
      <c r="I253" s="4" t="s">
        <v>267</v>
      </c>
      <c r="J253" s="4" t="s">
        <v>499</v>
      </c>
      <c r="K253" s="4">
        <v>0</v>
      </c>
      <c r="L253" s="4" t="s">
        <v>1625</v>
      </c>
      <c r="M253" s="4" t="s">
        <v>1626</v>
      </c>
      <c r="N253" s="4" t="s">
        <v>1627</v>
      </c>
      <c r="O253" s="4" t="s">
        <v>659</v>
      </c>
      <c r="P253" s="4" t="s">
        <v>1628</v>
      </c>
      <c r="Q253" s="4"/>
      <c r="R253" s="4"/>
      <c r="S253" s="4"/>
      <c r="T253" s="4"/>
      <c r="U253" s="5">
        <v>46289</v>
      </c>
      <c r="V253" s="4"/>
    </row>
    <row r="254" spans="1:22" x14ac:dyDescent="0.3">
      <c r="A254" s="4">
        <v>253</v>
      </c>
      <c r="B254" s="4">
        <v>9</v>
      </c>
      <c r="C254" s="4" t="s">
        <v>502</v>
      </c>
      <c r="D254" s="4" t="s">
        <v>1629</v>
      </c>
      <c r="E254" s="4" t="s">
        <v>1630</v>
      </c>
      <c r="F254" s="4" t="s">
        <v>1631</v>
      </c>
      <c r="G254" s="4" t="s">
        <v>1632</v>
      </c>
      <c r="H254" s="4" t="s">
        <v>1545</v>
      </c>
      <c r="I254" s="4" t="s">
        <v>51</v>
      </c>
      <c r="J254" s="4" t="s">
        <v>499</v>
      </c>
      <c r="K254" s="4">
        <v>0</v>
      </c>
      <c r="L254" s="4" t="s">
        <v>92</v>
      </c>
      <c r="M254" s="4"/>
      <c r="N254" s="4" t="s">
        <v>1633</v>
      </c>
      <c r="O254" s="4" t="s">
        <v>659</v>
      </c>
      <c r="P254" s="4" t="s">
        <v>1565</v>
      </c>
      <c r="Q254" s="4"/>
      <c r="R254" s="4"/>
      <c r="S254" s="4"/>
      <c r="T254" s="4"/>
      <c r="U254" s="5">
        <v>46289</v>
      </c>
      <c r="V254" s="4"/>
    </row>
    <row r="255" spans="1:22" x14ac:dyDescent="0.3">
      <c r="A255" s="4">
        <v>254</v>
      </c>
      <c r="B255" s="4">
        <v>9</v>
      </c>
      <c r="C255" s="4" t="s">
        <v>502</v>
      </c>
      <c r="D255" s="4" t="s">
        <v>360</v>
      </c>
      <c r="E255" s="4" t="s">
        <v>1634</v>
      </c>
      <c r="F255" s="4" t="s">
        <v>361</v>
      </c>
      <c r="G255" s="4" t="s">
        <v>1635</v>
      </c>
      <c r="H255" s="4" t="s">
        <v>1545</v>
      </c>
      <c r="I255" s="4" t="s">
        <v>51</v>
      </c>
      <c r="J255" s="4" t="s">
        <v>499</v>
      </c>
      <c r="K255" s="4">
        <v>0</v>
      </c>
      <c r="L255" s="4" t="s">
        <v>326</v>
      </c>
      <c r="M255" s="4" t="s">
        <v>1636</v>
      </c>
      <c r="N255" s="4" t="s">
        <v>1637</v>
      </c>
      <c r="O255" s="4" t="s">
        <v>659</v>
      </c>
      <c r="P255" s="4" t="s">
        <v>1565</v>
      </c>
      <c r="Q255" s="4"/>
      <c r="R255" s="4"/>
      <c r="S255" s="4"/>
      <c r="T255" s="4"/>
      <c r="U255" s="5">
        <v>46289</v>
      </c>
      <c r="V255" s="4"/>
    </row>
    <row r="256" spans="1:22" x14ac:dyDescent="0.3">
      <c r="A256" s="4">
        <v>255</v>
      </c>
      <c r="B256" s="4">
        <v>9</v>
      </c>
      <c r="C256" s="4" t="s">
        <v>502</v>
      </c>
      <c r="D256" s="4" t="s">
        <v>1638</v>
      </c>
      <c r="E256" s="4" t="s">
        <v>36</v>
      </c>
      <c r="F256" s="4" t="s">
        <v>1639</v>
      </c>
      <c r="G256" s="4" t="s">
        <v>1640</v>
      </c>
      <c r="H256" s="4" t="s">
        <v>1545</v>
      </c>
      <c r="I256" s="4" t="s">
        <v>267</v>
      </c>
      <c r="J256" s="4" t="s">
        <v>499</v>
      </c>
      <c r="K256" s="4">
        <v>0</v>
      </c>
      <c r="L256" s="4" t="s">
        <v>1641</v>
      </c>
      <c r="M256" s="4"/>
      <c r="N256" s="4" t="s">
        <v>1642</v>
      </c>
      <c r="O256" s="4" t="s">
        <v>659</v>
      </c>
      <c r="P256" s="4" t="s">
        <v>1565</v>
      </c>
      <c r="Q256" s="4"/>
      <c r="R256" s="4"/>
      <c r="S256" s="4"/>
      <c r="T256" s="4"/>
      <c r="U256" s="5">
        <v>46289</v>
      </c>
      <c r="V256" s="4"/>
    </row>
    <row r="257" spans="1:22" x14ac:dyDescent="0.3">
      <c r="A257" s="4">
        <v>256</v>
      </c>
      <c r="B257" s="4">
        <v>9</v>
      </c>
      <c r="C257" s="4" t="s">
        <v>502</v>
      </c>
      <c r="D257" s="4" t="s">
        <v>1643</v>
      </c>
      <c r="E257" s="4" t="s">
        <v>48</v>
      </c>
      <c r="F257" s="4" t="s">
        <v>1644</v>
      </c>
      <c r="G257" s="4" t="s">
        <v>1645</v>
      </c>
      <c r="H257" s="4" t="s">
        <v>1545</v>
      </c>
      <c r="I257" s="4" t="s">
        <v>267</v>
      </c>
      <c r="J257" s="4" t="s">
        <v>499</v>
      </c>
      <c r="K257" s="4">
        <v>0</v>
      </c>
      <c r="L257" s="4" t="s">
        <v>341</v>
      </c>
      <c r="M257" s="4"/>
      <c r="N257" s="4" t="s">
        <v>1050</v>
      </c>
      <c r="O257" s="4" t="s">
        <v>659</v>
      </c>
      <c r="P257" s="4" t="s">
        <v>1646</v>
      </c>
      <c r="Q257" s="4"/>
      <c r="R257" s="4"/>
      <c r="S257" s="4"/>
      <c r="T257" s="4"/>
      <c r="U257" s="5">
        <v>46289</v>
      </c>
      <c r="V257" s="4"/>
    </row>
    <row r="258" spans="1:22" x14ac:dyDescent="0.3">
      <c r="A258" s="4">
        <v>257</v>
      </c>
      <c r="B258" s="4">
        <v>9</v>
      </c>
      <c r="C258" s="4" t="s">
        <v>502</v>
      </c>
      <c r="D258" s="4" t="s">
        <v>388</v>
      </c>
      <c r="E258" s="4" t="s">
        <v>506</v>
      </c>
      <c r="F258" s="4" t="s">
        <v>389</v>
      </c>
      <c r="G258" s="4" t="s">
        <v>1647</v>
      </c>
      <c r="H258" s="4" t="s">
        <v>1545</v>
      </c>
      <c r="I258" s="4" t="s">
        <v>26</v>
      </c>
      <c r="J258" s="4" t="s">
        <v>499</v>
      </c>
      <c r="K258" s="4">
        <v>0</v>
      </c>
      <c r="L258" s="4" t="s">
        <v>1648</v>
      </c>
      <c r="M258" s="4" t="s">
        <v>1649</v>
      </c>
      <c r="N258" s="4" t="s">
        <v>1650</v>
      </c>
      <c r="O258" s="4" t="s">
        <v>659</v>
      </c>
      <c r="P258" s="4" t="s">
        <v>1554</v>
      </c>
      <c r="Q258" s="4"/>
      <c r="R258" s="4"/>
      <c r="S258" s="4"/>
      <c r="T258" s="4"/>
      <c r="U258" s="5">
        <v>46289</v>
      </c>
      <c r="V258" s="4"/>
    </row>
    <row r="259" spans="1:22" x14ac:dyDescent="0.3">
      <c r="A259" s="4">
        <v>258</v>
      </c>
      <c r="B259" s="4">
        <v>9</v>
      </c>
      <c r="C259" s="4" t="s">
        <v>502</v>
      </c>
      <c r="D259" s="4" t="s">
        <v>1651</v>
      </c>
      <c r="E259" s="4" t="s">
        <v>506</v>
      </c>
      <c r="F259" s="4" t="s">
        <v>1652</v>
      </c>
      <c r="G259" s="4" t="s">
        <v>1653</v>
      </c>
      <c r="H259" s="4" t="s">
        <v>1545</v>
      </c>
      <c r="I259" s="4" t="s">
        <v>51</v>
      </c>
      <c r="J259" s="4" t="s">
        <v>499</v>
      </c>
      <c r="K259" s="4">
        <v>0</v>
      </c>
      <c r="L259" s="4" t="s">
        <v>388</v>
      </c>
      <c r="M259" s="4" t="s">
        <v>1654</v>
      </c>
      <c r="N259" s="4" t="s">
        <v>1655</v>
      </c>
      <c r="O259" s="4" t="s">
        <v>659</v>
      </c>
      <c r="P259" s="4" t="s">
        <v>1656</v>
      </c>
      <c r="Q259" s="4"/>
      <c r="R259" s="4"/>
      <c r="S259" s="4"/>
      <c r="T259" s="4"/>
      <c r="U259" s="5">
        <v>46289</v>
      </c>
      <c r="V259" s="4"/>
    </row>
  </sheetData>
  <autoFilter ref="A1:V25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</vt:lpstr>
      <vt:lpstr>Executive Summary</vt:lpstr>
      <vt:lpstr>Development Waves</vt:lpstr>
      <vt:lpstr>Priority Features</vt:lpstr>
      <vt:lpstr>Multi-Role Plan</vt:lpstr>
      <vt:lpstr>Key Observations</vt:lpstr>
      <vt:lpstr>Target Architecture</vt:lpstr>
      <vt:lpstr>Source_Sheet1</vt:lpstr>
      <vt:lpstr>Source_ATIP_MASTER_TRACKER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Morankar</cp:lastModifiedBy>
  <dcterms:created xsi:type="dcterms:W3CDTF">2026-09-24T03:42:04Z</dcterms:created>
  <dcterms:modified xsi:type="dcterms:W3CDTF">2026-09-25T13:27:07Z</dcterms:modified>
</cp:coreProperties>
</file>