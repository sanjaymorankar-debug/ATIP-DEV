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Features" sheetId="2" state="visible" r:id="rId2"/>
    <sheet xmlns:r="http://schemas.openxmlformats.org/officeDocument/2006/relationships" name="Built - Needs QA" sheetId="3" state="visible" r:id="rId3"/>
    <sheet xmlns:r="http://schemas.openxmlformats.org/officeDocument/2006/relationships" name="In Progress" sheetId="4" state="visible" r:id="rId4"/>
    <sheet xmlns:r="http://schemas.openxmlformats.org/officeDocument/2006/relationships" name="Yet To Start" sheetId="5" state="visible" r:id="rId5"/>
    <sheet xmlns:r="http://schemas.openxmlformats.org/officeDocument/2006/relationships" name="Owner Decisions" sheetId="6" state="visible" r:id="rId6"/>
    <sheet xmlns:r="http://schemas.openxmlformats.org/officeDocument/2006/relationships" name="Open Issues" sheetId="7" state="visible" r:id="rId7"/>
    <sheet xmlns:r="http://schemas.openxmlformats.org/officeDocument/2006/relationships" name="Waves &amp; Deployment" sheetId="8" state="visible" r:id="rId8"/>
  </sheets>
  <definedNames>
    <definedName name="_xlnm._FilterDatabase" localSheetId="1" hidden="1">'All Features'!$A$1:$R$278</definedName>
    <definedName name="_xlnm._FilterDatabase" localSheetId="2" hidden="1">'Built - Needs QA'!$A$1:$J$62</definedName>
    <definedName name="_xlnm._FilterDatabase" localSheetId="3" hidden="1">'In Progress'!$A$1:$J$59</definedName>
    <definedName name="_xlnm._FilterDatabase" localSheetId="4" hidden="1">'Yet To Start'!$A$1:$J$31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4"/>
    </font>
    <font>
      <name val="Arial"/>
      <i val="1"/>
      <sz val="9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164" fontId="2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ATIP</author>
  </authors>
  <commentList>
    <comment ref="J4" authorId="0" shapeId="0">
      <text>
        <t>Share of the phase's features that are COMPLETED or built awaiting QA.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1" customWidth="1" min="3" max="3"/>
    <col width="12" customWidth="1" min="4" max="4"/>
    <col width="11" customWidth="1" min="5" max="5"/>
    <col width="11" customWidth="1" min="6" max="6"/>
    <col width="9" customWidth="1" min="7" max="7"/>
    <col width="9" customWidth="1" min="8" max="8"/>
    <col width="8" customWidth="1" min="9" max="9"/>
    <col width="13" customWidth="1" min="10" max="10"/>
    <col width="13" customWidth="1" min="11" max="11"/>
  </cols>
  <sheetData>
    <row r="1">
      <c r="A1" s="1" t="inlineStr">
        <is>
          <t>ATIP feature status tracker</t>
        </is>
      </c>
    </row>
    <row r="2">
      <c r="A2" s="2" t="inlineStr">
        <is>
          <t>Source: docs/ATIP_MASTER_TRACKER.csv (dev branch, incl. W25) as of 2026-09-28; production release ATIP-W24-RC1 deployed 2026-09-28 11:31; W25 built, not deployed.</t>
        </is>
      </c>
    </row>
    <row r="4">
      <c r="A4" s="3" t="inlineStr">
        <is>
          <t>Phase</t>
        </is>
      </c>
      <c r="B4" s="3" t="inlineStr">
        <is>
          <t>Phase name</t>
        </is>
      </c>
      <c r="C4" s="3" t="inlineStr">
        <is>
          <t>Completed</t>
        </is>
      </c>
      <c r="D4" s="3" t="inlineStr">
        <is>
          <t>Built, needs QA</t>
        </is>
      </c>
      <c r="E4" s="3" t="inlineStr">
        <is>
          <t>In progress</t>
        </is>
      </c>
      <c r="F4" s="3" t="inlineStr">
        <is>
          <t>Yet to start</t>
        </is>
      </c>
      <c r="G4" s="3" t="inlineStr">
        <is>
          <t>Blocked</t>
        </is>
      </c>
      <c r="H4" s="3" t="inlineStr">
        <is>
          <t>Unclear</t>
        </is>
      </c>
      <c r="I4" s="3" t="inlineStr">
        <is>
          <t>Total</t>
        </is>
      </c>
      <c r="J4" s="3" t="inlineStr">
        <is>
          <t>Done or built %</t>
        </is>
      </c>
      <c r="K4" s="3" t="inlineStr">
        <is>
          <t>Avg completion %</t>
        </is>
      </c>
    </row>
    <row r="5">
      <c r="A5" s="4" t="n">
        <v>0</v>
      </c>
      <c r="B5" s="4" t="inlineStr">
        <is>
          <t>Delivered baseline (maintain)</t>
        </is>
      </c>
      <c r="C5" s="4">
        <f>COUNTIFS('All Features'!$B$2:$B$278,$A5,'All Features'!$G$2:$G$278,"COMPLETED")</f>
        <v/>
      </c>
      <c r="D5" s="4">
        <f>COUNTIFS('All Features'!$B$2:$B$278,$A5,'All Features'!$G$2:$G$278,"IMPLEMENTED BUT NOT VERIFIED")</f>
        <v/>
      </c>
      <c r="E5" s="4">
        <f>COUNTIFS('All Features'!$B$2:$B$278,$A5,'All Features'!$G$2:$G$278,"IN PROGRESS")</f>
        <v/>
      </c>
      <c r="F5" s="4">
        <f>COUNTIFS('All Features'!$B$2:$B$278,$A5,'All Features'!$G$2:$G$278,"YET TO START")</f>
        <v/>
      </c>
      <c r="G5" s="4">
        <f>COUNTIFS('All Features'!$B$2:$B$278,$A5,'All Features'!$G$2:$G$278,"BLOCKED")</f>
        <v/>
      </c>
      <c r="H5" s="4">
        <f>COUNTIFS('All Features'!$B$2:$B$278,$A5,'All Features'!$G$2:$G$278,"UNCLEAR")</f>
        <v/>
      </c>
      <c r="I5" s="4">
        <f>SUM(C5:H5)</f>
        <v/>
      </c>
      <c r="J5" s="5">
        <f>IF(I5=0,0,(C5+D5)/I5)</f>
        <v/>
      </c>
      <c r="K5" s="5">
        <f>IFERROR(AVERAGEIFS('All Features'!$H$2:$H$278,'All Features'!$B$2:$B$278,$A5),0)</f>
        <v/>
      </c>
    </row>
    <row r="6">
      <c r="A6" s="4" t="n">
        <v>1</v>
      </c>
      <c r="B6" s="4" t="inlineStr">
        <is>
          <t>Foundation</t>
        </is>
      </c>
      <c r="C6" s="4">
        <f>COUNTIFS('All Features'!$B$2:$B$278,$A6,'All Features'!$G$2:$G$278,"COMPLETED")</f>
        <v/>
      </c>
      <c r="D6" s="4">
        <f>COUNTIFS('All Features'!$B$2:$B$278,$A6,'All Features'!$G$2:$G$278,"IMPLEMENTED BUT NOT VERIFIED")</f>
        <v/>
      </c>
      <c r="E6" s="4">
        <f>COUNTIFS('All Features'!$B$2:$B$278,$A6,'All Features'!$G$2:$G$278,"IN PROGRESS")</f>
        <v/>
      </c>
      <c r="F6" s="4">
        <f>COUNTIFS('All Features'!$B$2:$B$278,$A6,'All Features'!$G$2:$G$278,"YET TO START")</f>
        <v/>
      </c>
      <c r="G6" s="4">
        <f>COUNTIFS('All Features'!$B$2:$B$278,$A6,'All Features'!$G$2:$G$278,"BLOCKED")</f>
        <v/>
      </c>
      <c r="H6" s="4">
        <f>COUNTIFS('All Features'!$B$2:$B$278,$A6,'All Features'!$G$2:$G$278,"UNCLEAR")</f>
        <v/>
      </c>
      <c r="I6" s="4">
        <f>SUM(C6:H6)</f>
        <v/>
      </c>
      <c r="J6" s="5">
        <f>IF(I6=0,0,(C6+D6)/I6)</f>
        <v/>
      </c>
      <c r="K6" s="5">
        <f>IFERROR(AVERAGEIFS('All Features'!$H$2:$H$278,'All Features'!$B$2:$B$278,$A6),0)</f>
        <v/>
      </c>
    </row>
    <row r="7">
      <c r="A7" s="4" t="n">
        <v>2</v>
      </c>
      <c r="B7" s="4" t="inlineStr">
        <is>
          <t>Quant Research (data, factors, backtesting)</t>
        </is>
      </c>
      <c r="C7" s="4">
        <f>COUNTIFS('All Features'!$B$2:$B$278,$A7,'All Features'!$G$2:$G$278,"COMPLETED")</f>
        <v/>
      </c>
      <c r="D7" s="4">
        <f>COUNTIFS('All Features'!$B$2:$B$278,$A7,'All Features'!$G$2:$G$278,"IMPLEMENTED BUT NOT VERIFIED")</f>
        <v/>
      </c>
      <c r="E7" s="4">
        <f>COUNTIFS('All Features'!$B$2:$B$278,$A7,'All Features'!$G$2:$G$278,"IN PROGRESS")</f>
        <v/>
      </c>
      <c r="F7" s="4">
        <f>COUNTIFS('All Features'!$B$2:$B$278,$A7,'All Features'!$G$2:$G$278,"YET TO START")</f>
        <v/>
      </c>
      <c r="G7" s="4">
        <f>COUNTIFS('All Features'!$B$2:$B$278,$A7,'All Features'!$G$2:$G$278,"BLOCKED")</f>
        <v/>
      </c>
      <c r="H7" s="4">
        <f>COUNTIFS('All Features'!$B$2:$B$278,$A7,'All Features'!$G$2:$G$278,"UNCLEAR")</f>
        <v/>
      </c>
      <c r="I7" s="4">
        <f>SUM(C7:H7)</f>
        <v/>
      </c>
      <c r="J7" s="5">
        <f>IF(I7=0,0,(C7+D7)/I7)</f>
        <v/>
      </c>
      <c r="K7" s="5">
        <f>IFERROR(AVERAGEIFS('All Features'!$H$2:$H$278,'All Features'!$B$2:$B$278,$A7),0)</f>
        <v/>
      </c>
    </row>
    <row r="8">
      <c r="A8" s="4" t="n">
        <v>3</v>
      </c>
      <c r="B8" s="4" t="inlineStr">
        <is>
          <t>Strategy Engine</t>
        </is>
      </c>
      <c r="C8" s="4">
        <f>COUNTIFS('All Features'!$B$2:$B$278,$A8,'All Features'!$G$2:$G$278,"COMPLETED")</f>
        <v/>
      </c>
      <c r="D8" s="4">
        <f>COUNTIFS('All Features'!$B$2:$B$278,$A8,'All Features'!$G$2:$G$278,"IMPLEMENTED BUT NOT VERIFIED")</f>
        <v/>
      </c>
      <c r="E8" s="4">
        <f>COUNTIFS('All Features'!$B$2:$B$278,$A8,'All Features'!$G$2:$G$278,"IN PROGRESS")</f>
        <v/>
      </c>
      <c r="F8" s="4">
        <f>COUNTIFS('All Features'!$B$2:$B$278,$A8,'All Features'!$G$2:$G$278,"YET TO START")</f>
        <v/>
      </c>
      <c r="G8" s="4">
        <f>COUNTIFS('All Features'!$B$2:$B$278,$A8,'All Features'!$G$2:$G$278,"BLOCKED")</f>
        <v/>
      </c>
      <c r="H8" s="4">
        <f>COUNTIFS('All Features'!$B$2:$B$278,$A8,'All Features'!$G$2:$G$278,"UNCLEAR")</f>
        <v/>
      </c>
      <c r="I8" s="4">
        <f>SUM(C8:H8)</f>
        <v/>
      </c>
      <c r="J8" s="5">
        <f>IF(I8=0,0,(C8+D8)/I8)</f>
        <v/>
      </c>
      <c r="K8" s="5">
        <f>IFERROR(AVERAGEIFS('All Features'!$H$2:$H$278,'All Features'!$B$2:$B$278,$A8),0)</f>
        <v/>
      </c>
    </row>
    <row r="9">
      <c r="A9" s="4" t="n">
        <v>4</v>
      </c>
      <c r="B9" s="4" t="inlineStr">
        <is>
          <t>AI/ML</t>
        </is>
      </c>
      <c r="C9" s="4">
        <f>COUNTIFS('All Features'!$B$2:$B$278,$A9,'All Features'!$G$2:$G$278,"COMPLETED")</f>
        <v/>
      </c>
      <c r="D9" s="4">
        <f>COUNTIFS('All Features'!$B$2:$B$278,$A9,'All Features'!$G$2:$G$278,"IMPLEMENTED BUT NOT VERIFIED")</f>
        <v/>
      </c>
      <c r="E9" s="4">
        <f>COUNTIFS('All Features'!$B$2:$B$278,$A9,'All Features'!$G$2:$G$278,"IN PROGRESS")</f>
        <v/>
      </c>
      <c r="F9" s="4">
        <f>COUNTIFS('All Features'!$B$2:$B$278,$A9,'All Features'!$G$2:$G$278,"YET TO START")</f>
        <v/>
      </c>
      <c r="G9" s="4">
        <f>COUNTIFS('All Features'!$B$2:$B$278,$A9,'All Features'!$G$2:$G$278,"BLOCKED")</f>
        <v/>
      </c>
      <c r="H9" s="4">
        <f>COUNTIFS('All Features'!$B$2:$B$278,$A9,'All Features'!$G$2:$G$278,"UNCLEAR")</f>
        <v/>
      </c>
      <c r="I9" s="4">
        <f>SUM(C9:H9)</f>
        <v/>
      </c>
      <c r="J9" s="5">
        <f>IF(I9=0,0,(C9+D9)/I9)</f>
        <v/>
      </c>
      <c r="K9" s="5">
        <f>IFERROR(AVERAGEIFS('All Features'!$H$2:$H$278,'All Features'!$B$2:$B$278,$A9),0)</f>
        <v/>
      </c>
    </row>
    <row r="10">
      <c r="A10" s="4" t="n">
        <v>5</v>
      </c>
      <c r="B10" s="4" t="inlineStr">
        <is>
          <t>Risk &amp; Portfolio</t>
        </is>
      </c>
      <c r="C10" s="4">
        <f>COUNTIFS('All Features'!$B$2:$B$278,$A10,'All Features'!$G$2:$G$278,"COMPLETED")</f>
        <v/>
      </c>
      <c r="D10" s="4">
        <f>COUNTIFS('All Features'!$B$2:$B$278,$A10,'All Features'!$G$2:$G$278,"IMPLEMENTED BUT NOT VERIFIED")</f>
        <v/>
      </c>
      <c r="E10" s="4">
        <f>COUNTIFS('All Features'!$B$2:$B$278,$A10,'All Features'!$G$2:$G$278,"IN PROGRESS")</f>
        <v/>
      </c>
      <c r="F10" s="4">
        <f>COUNTIFS('All Features'!$B$2:$B$278,$A10,'All Features'!$G$2:$G$278,"YET TO START")</f>
        <v/>
      </c>
      <c r="G10" s="4">
        <f>COUNTIFS('All Features'!$B$2:$B$278,$A10,'All Features'!$G$2:$G$278,"BLOCKED")</f>
        <v/>
      </c>
      <c r="H10" s="4">
        <f>COUNTIFS('All Features'!$B$2:$B$278,$A10,'All Features'!$G$2:$G$278,"UNCLEAR")</f>
        <v/>
      </c>
      <c r="I10" s="4">
        <f>SUM(C10:H10)</f>
        <v/>
      </c>
      <c r="J10" s="5">
        <f>IF(I10=0,0,(C10+D10)/I10)</f>
        <v/>
      </c>
      <c r="K10" s="5">
        <f>IFERROR(AVERAGEIFS('All Features'!$H$2:$H$278,'All Features'!$B$2:$B$278,$A10),0)</f>
        <v/>
      </c>
    </row>
    <row r="11">
      <c r="A11" s="4" t="n">
        <v>6</v>
      </c>
      <c r="B11" s="4" t="inlineStr">
        <is>
          <t>Execution</t>
        </is>
      </c>
      <c r="C11" s="4">
        <f>COUNTIFS('All Features'!$B$2:$B$278,$A11,'All Features'!$G$2:$G$278,"COMPLETED")</f>
        <v/>
      </c>
      <c r="D11" s="4">
        <f>COUNTIFS('All Features'!$B$2:$B$278,$A11,'All Features'!$G$2:$G$278,"IMPLEMENTED BUT NOT VERIFIED")</f>
        <v/>
      </c>
      <c r="E11" s="4">
        <f>COUNTIFS('All Features'!$B$2:$B$278,$A11,'All Features'!$G$2:$G$278,"IN PROGRESS")</f>
        <v/>
      </c>
      <c r="F11" s="4">
        <f>COUNTIFS('All Features'!$B$2:$B$278,$A11,'All Features'!$G$2:$G$278,"YET TO START")</f>
        <v/>
      </c>
      <c r="G11" s="4">
        <f>COUNTIFS('All Features'!$B$2:$B$278,$A11,'All Features'!$G$2:$G$278,"BLOCKED")</f>
        <v/>
      </c>
      <c r="H11" s="4">
        <f>COUNTIFS('All Features'!$B$2:$B$278,$A11,'All Features'!$G$2:$G$278,"UNCLEAR")</f>
        <v/>
      </c>
      <c r="I11" s="4">
        <f>SUM(C11:H11)</f>
        <v/>
      </c>
      <c r="J11" s="5">
        <f>IF(I11=0,0,(C11+D11)/I11)</f>
        <v/>
      </c>
      <c r="K11" s="5">
        <f>IFERROR(AVERAGEIFS('All Features'!$H$2:$H$278,'All Features'!$B$2:$B$278,$A11),0)</f>
        <v/>
      </c>
    </row>
    <row r="12">
      <c r="A12" s="4" t="n">
        <v>7</v>
      </c>
      <c r="B12" s="4" t="inlineStr">
        <is>
          <t>Advanced Quant</t>
        </is>
      </c>
      <c r="C12" s="4">
        <f>COUNTIFS('All Features'!$B$2:$B$278,$A12,'All Features'!$G$2:$G$278,"COMPLETED")</f>
        <v/>
      </c>
      <c r="D12" s="4">
        <f>COUNTIFS('All Features'!$B$2:$B$278,$A12,'All Features'!$G$2:$G$278,"IMPLEMENTED BUT NOT VERIFIED")</f>
        <v/>
      </c>
      <c r="E12" s="4">
        <f>COUNTIFS('All Features'!$B$2:$B$278,$A12,'All Features'!$G$2:$G$278,"IN PROGRESS")</f>
        <v/>
      </c>
      <c r="F12" s="4">
        <f>COUNTIFS('All Features'!$B$2:$B$278,$A12,'All Features'!$G$2:$G$278,"YET TO START")</f>
        <v/>
      </c>
      <c r="G12" s="4">
        <f>COUNTIFS('All Features'!$B$2:$B$278,$A12,'All Features'!$G$2:$G$278,"BLOCKED")</f>
        <v/>
      </c>
      <c r="H12" s="4">
        <f>COUNTIFS('All Features'!$B$2:$B$278,$A12,'All Features'!$G$2:$G$278,"UNCLEAR")</f>
        <v/>
      </c>
      <c r="I12" s="4">
        <f>SUM(C12:H12)</f>
        <v/>
      </c>
      <c r="J12" s="5">
        <f>IF(I12=0,0,(C12+D12)/I12)</f>
        <v/>
      </c>
      <c r="K12" s="5">
        <f>IFERROR(AVERAGEIFS('All Features'!$H$2:$H$278,'All Features'!$B$2:$B$278,$A12),0)</f>
        <v/>
      </c>
    </row>
    <row r="13">
      <c r="A13" s="4" t="n">
        <v>8</v>
      </c>
      <c r="B13" s="4" t="inlineStr">
        <is>
          <t>Production Hardening</t>
        </is>
      </c>
      <c r="C13" s="4">
        <f>COUNTIFS('All Features'!$B$2:$B$278,$A13,'All Features'!$G$2:$G$278,"COMPLETED")</f>
        <v/>
      </c>
      <c r="D13" s="4">
        <f>COUNTIFS('All Features'!$B$2:$B$278,$A13,'All Features'!$G$2:$G$278,"IMPLEMENTED BUT NOT VERIFIED")</f>
        <v/>
      </c>
      <c r="E13" s="4">
        <f>COUNTIFS('All Features'!$B$2:$B$278,$A13,'All Features'!$G$2:$G$278,"IN PROGRESS")</f>
        <v/>
      </c>
      <c r="F13" s="4">
        <f>COUNTIFS('All Features'!$B$2:$B$278,$A13,'All Features'!$G$2:$G$278,"YET TO START")</f>
        <v/>
      </c>
      <c r="G13" s="4">
        <f>COUNTIFS('All Features'!$B$2:$B$278,$A13,'All Features'!$G$2:$G$278,"BLOCKED")</f>
        <v/>
      </c>
      <c r="H13" s="4">
        <f>COUNTIFS('All Features'!$B$2:$B$278,$A13,'All Features'!$G$2:$G$278,"UNCLEAR")</f>
        <v/>
      </c>
      <c r="I13" s="4">
        <f>SUM(C13:H13)</f>
        <v/>
      </c>
      <c r="J13" s="5">
        <f>IF(I13=0,0,(C13+D13)/I13)</f>
        <v/>
      </c>
      <c r="K13" s="5">
        <f>IFERROR(AVERAGEIFS('All Features'!$H$2:$H$278,'All Features'!$B$2:$B$278,$A13),0)</f>
        <v/>
      </c>
    </row>
    <row r="14">
      <c r="A14" s="4" t="n">
        <v>8</v>
      </c>
      <c r="B14" s="4" t="inlineStr">
        <is>
          <t>Production hardening</t>
        </is>
      </c>
      <c r="C14" s="4">
        <f>COUNTIFS('All Features'!$B$2:$B$278,$A14,'All Features'!$G$2:$G$278,"COMPLETED")</f>
        <v/>
      </c>
      <c r="D14" s="4">
        <f>COUNTIFS('All Features'!$B$2:$B$278,$A14,'All Features'!$G$2:$G$278,"IMPLEMENTED BUT NOT VERIFIED")</f>
        <v/>
      </c>
      <c r="E14" s="4">
        <f>COUNTIFS('All Features'!$B$2:$B$278,$A14,'All Features'!$G$2:$G$278,"IN PROGRESS")</f>
        <v/>
      </c>
      <c r="F14" s="4">
        <f>COUNTIFS('All Features'!$B$2:$B$278,$A14,'All Features'!$G$2:$G$278,"YET TO START")</f>
        <v/>
      </c>
      <c r="G14" s="4">
        <f>COUNTIFS('All Features'!$B$2:$B$278,$A14,'All Features'!$G$2:$G$278,"BLOCKED")</f>
        <v/>
      </c>
      <c r="H14" s="4">
        <f>COUNTIFS('All Features'!$B$2:$B$278,$A14,'All Features'!$G$2:$G$278,"UNCLEAR")</f>
        <v/>
      </c>
      <c r="I14" s="4">
        <f>SUM(C14:H14)</f>
        <v/>
      </c>
      <c r="J14" s="5">
        <f>IF(I14=0,0,(C14+D14)/I14)</f>
        <v/>
      </c>
      <c r="K14" s="5">
        <f>IFERROR(AVERAGEIFS('All Features'!$H$2:$H$278,'All Features'!$B$2:$B$278,$A14),0)</f>
        <v/>
      </c>
    </row>
    <row r="15">
      <c r="A15" s="4" t="n">
        <v>9</v>
      </c>
      <c r="B15" s="4" t="inlineStr">
        <is>
          <t>Enterprise SaaS (final objective)</t>
        </is>
      </c>
      <c r="C15" s="4">
        <f>COUNTIFS('All Features'!$B$2:$B$278,$A15,'All Features'!$G$2:$G$278,"COMPLETED")</f>
        <v/>
      </c>
      <c r="D15" s="4">
        <f>COUNTIFS('All Features'!$B$2:$B$278,$A15,'All Features'!$G$2:$G$278,"IMPLEMENTED BUT NOT VERIFIED")</f>
        <v/>
      </c>
      <c r="E15" s="4">
        <f>COUNTIFS('All Features'!$B$2:$B$278,$A15,'All Features'!$G$2:$G$278,"IN PROGRESS")</f>
        <v/>
      </c>
      <c r="F15" s="4">
        <f>COUNTIFS('All Features'!$B$2:$B$278,$A15,'All Features'!$G$2:$G$278,"YET TO START")</f>
        <v/>
      </c>
      <c r="G15" s="4">
        <f>COUNTIFS('All Features'!$B$2:$B$278,$A15,'All Features'!$G$2:$G$278,"BLOCKED")</f>
        <v/>
      </c>
      <c r="H15" s="4">
        <f>COUNTIFS('All Features'!$B$2:$B$278,$A15,'All Features'!$G$2:$G$278,"UNCLEAR")</f>
        <v/>
      </c>
      <c r="I15" s="4">
        <f>SUM(C15:H15)</f>
        <v/>
      </c>
      <c r="J15" s="5">
        <f>IF(I15=0,0,(C15+D15)/I15)</f>
        <v/>
      </c>
      <c r="K15" s="5">
        <f>IFERROR(AVERAGEIFS('All Features'!$H$2:$H$278,'All Features'!$B$2:$B$278,$A15),0)</f>
        <v/>
      </c>
    </row>
    <row r="16">
      <c r="A16" s="4" t="n">
        <v>10</v>
      </c>
      <c r="B16" s="4" t="inlineStr">
        <is>
          <t>Wealth track (Waves 11-20)</t>
        </is>
      </c>
      <c r="C16" s="4">
        <f>COUNTIFS('All Features'!$B$2:$B$278,$A16,'All Features'!$G$2:$G$278,"COMPLETED")</f>
        <v/>
      </c>
      <c r="D16" s="4">
        <f>COUNTIFS('All Features'!$B$2:$B$278,$A16,'All Features'!$G$2:$G$278,"IMPLEMENTED BUT NOT VERIFIED")</f>
        <v/>
      </c>
      <c r="E16" s="4">
        <f>COUNTIFS('All Features'!$B$2:$B$278,$A16,'All Features'!$G$2:$G$278,"IN PROGRESS")</f>
        <v/>
      </c>
      <c r="F16" s="4">
        <f>COUNTIFS('All Features'!$B$2:$B$278,$A16,'All Features'!$G$2:$G$278,"YET TO START")</f>
        <v/>
      </c>
      <c r="G16" s="4">
        <f>COUNTIFS('All Features'!$B$2:$B$278,$A16,'All Features'!$G$2:$G$278,"BLOCKED")</f>
        <v/>
      </c>
      <c r="H16" s="4">
        <f>COUNTIFS('All Features'!$B$2:$B$278,$A16,'All Features'!$G$2:$G$278,"UNCLEAR")</f>
        <v/>
      </c>
      <c r="I16" s="4">
        <f>SUM(C16:H16)</f>
        <v/>
      </c>
      <c r="J16" s="5">
        <f>IF(I16=0,0,(C16+D16)/I16)</f>
        <v/>
      </c>
      <c r="K16" s="5">
        <f>IFERROR(AVERAGEIFS('All Features'!$H$2:$H$278,'All Features'!$B$2:$B$278,$A16),0)</f>
        <v/>
      </c>
    </row>
    <row r="17">
      <c r="A17" s="6" t="n"/>
      <c r="B17" s="6" t="inlineStr">
        <is>
          <t>TOTAL</t>
        </is>
      </c>
      <c r="C17" s="6">
        <f>SUM(C5:C16)</f>
        <v/>
      </c>
      <c r="D17" s="6">
        <f>SUM(D5:D16)</f>
        <v/>
      </c>
      <c r="E17" s="6">
        <f>SUM(E5:E16)</f>
        <v/>
      </c>
      <c r="F17" s="6">
        <f>SUM(F5:F16)</f>
        <v/>
      </c>
      <c r="G17" s="6">
        <f>SUM(G5:G16)</f>
        <v/>
      </c>
      <c r="H17" s="6">
        <f>SUM(H5:H16)</f>
        <v/>
      </c>
      <c r="I17" s="6">
        <f>SUM(I5:I16)</f>
        <v/>
      </c>
      <c r="J17" s="7">
        <f>IF(I17=0,0,(C17+D17)/I17)</f>
        <v/>
      </c>
      <c r="K17" s="7">
        <f>AVERAGE('All Features'!$H$2:$H$278)</f>
        <v/>
      </c>
    </row>
    <row r="19">
      <c r="A19" s="8" t="inlineStr">
        <is>
          <t>Other counts</t>
        </is>
      </c>
    </row>
    <row r="20">
      <c r="A20" s="9" t="inlineStr">
        <is>
          <t>Features needing independent QA (built, not verified)</t>
        </is>
      </c>
      <c r="I20" s="8">
        <f>COUNTIF('All Features'!$G$2:$G$278,"IMPLEMENTED BUT NOT VERIFIED")</f>
        <v/>
      </c>
    </row>
    <row r="21">
      <c r="A21" s="9" t="inlineStr">
        <is>
          <t>Features waiting on an owner decision</t>
        </is>
      </c>
      <c r="I21" s="8">
        <f>COUNTIF('All Features'!$K$2:$K$278,"*Owner:*")</f>
        <v/>
      </c>
    </row>
    <row r="22">
      <c r="A22" s="9" t="inlineStr">
        <is>
          <t>Owner decisions still open</t>
        </is>
      </c>
      <c r="I22" s="8">
        <f>COUNTBLANK('Owner Decisions'!$F$2:$F$18)</f>
        <v/>
      </c>
    </row>
    <row r="23">
      <c r="A23" s="9" t="inlineStr">
        <is>
          <t>Reviewed OK</t>
        </is>
      </c>
      <c r="I23" s="8">
        <f>COUNTIF('All Features'!$Q$2:$Q$278,"Reviewed OK")</f>
        <v/>
      </c>
    </row>
    <row r="24">
      <c r="A24" s="9" t="inlineStr">
        <is>
          <t>Reviewed with an issue</t>
        </is>
      </c>
      <c r="I24" s="8">
        <f>COUNTIF('All Features'!$Q$2:$Q$278,"Issue found")</f>
        <v/>
      </c>
    </row>
    <row r="25">
      <c r="A25" s="9" t="inlineStr">
        <is>
          <t>Open issues</t>
        </is>
      </c>
      <c r="I25" s="8">
        <f>COUNTIF('Open Issues'!$E$2:$E$8,"OPEN")</f>
        <v/>
      </c>
    </row>
    <row r="27">
      <c r="A27" s="8" t="inlineStr">
        <is>
          <t>How to use this workbook</t>
        </is>
      </c>
    </row>
    <row r="28" ht="28" customHeight="1">
      <c r="A28" s="10" t="inlineStr">
        <is>
          <t>Yellow cells are yours to fill: 'All Features' columns Review Status (drop-down) and Reviewer Notes; 'Owner Decisions' columns Your decision and Date.</t>
        </is>
      </c>
    </row>
    <row r="29" ht="28" customHeight="1">
      <c r="A29" s="10" t="inlineStr">
        <is>
          <t>Example: Review Status = Issue found; Reviewer Notes = 'Goal Monte Carlo slow with 20 goals (8 s) - retest after fix'.</t>
        </is>
      </c>
    </row>
    <row r="30" ht="28" customHeight="1">
      <c r="A30" s="10" t="inlineStr">
        <is>
          <t>Status meanings: COMPLETED = built (W1/W2 tested); IMPLEMENTED BUT NOT VERIFIED = built and smoke-run, awaiting independent QA; IN PROGRESS = partly built; YET TO START = not built.</t>
        </is>
      </c>
    </row>
    <row r="31" ht="28" customHeight="1">
      <c r="A31" s="10" t="inlineStr">
        <is>
          <t>Every count above is a live formula over 'All Features': filter or edit that sheet and the summary updates.</t>
        </is>
      </c>
    </row>
    <row r="32" ht="28" customHeight="1">
      <c r="A32" s="10" t="inlineStr">
        <is>
          <t>'Deployed' means the code is in the running production release ATIP-W24-RC1; new features stay off until their config switch is enabled (see Owner Decisions).</t>
        </is>
      </c>
    </row>
  </sheetData>
  <mergeCells count="11">
    <mergeCell ref="A21:H21"/>
    <mergeCell ref="A30:K30"/>
    <mergeCell ref="A25:H25"/>
    <mergeCell ref="A20:H20"/>
    <mergeCell ref="A24:H24"/>
    <mergeCell ref="A29:K29"/>
    <mergeCell ref="A28:K28"/>
    <mergeCell ref="A32:K32"/>
    <mergeCell ref="A23:H23"/>
    <mergeCell ref="A22:H22"/>
    <mergeCell ref="A31:K3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2" customWidth="1" min="3" max="3"/>
    <col width="10" customWidth="1" min="4" max="4"/>
    <col width="16" customWidth="1" min="5" max="5"/>
    <col width="30" customWidth="1" min="6" max="6"/>
    <col width="20" customWidth="1" min="7" max="7"/>
    <col width="10" customWidth="1" min="8" max="8"/>
    <col width="8" customWidth="1" min="9" max="9"/>
    <col width="16" customWidth="1" min="10" max="10"/>
    <col width="26" customWidth="1" min="11" max="11"/>
    <col width="55" customWidth="1" min="12" max="12"/>
    <col width="45" customWidth="1" min="13" max="13"/>
    <col width="30" customWidth="1" min="14" max="14"/>
    <col width="14" customWidth="1" min="15" max="15"/>
    <col width="12" customWidth="1" min="16" max="16"/>
    <col width="16" customWidth="1" min="17" max="17"/>
    <col width="30" customWidth="1" min="18" max="18"/>
  </cols>
  <sheetData>
    <row r="1">
      <c r="A1" s="3" t="inlineStr">
        <is>
          <t>Seq</t>
        </is>
      </c>
      <c r="B1" s="3" t="inlineStr">
        <is>
          <t>Phase</t>
        </is>
      </c>
      <c r="C1" s="3" t="inlineStr">
        <is>
          <t>Phase Name</t>
        </is>
      </c>
      <c r="D1" s="3" t="inlineStr">
        <is>
          <t>ID</t>
        </is>
      </c>
      <c r="E1" s="3" t="inlineStr">
        <is>
          <t>Module</t>
        </is>
      </c>
      <c r="F1" s="3" t="inlineStr">
        <is>
          <t>Feature</t>
        </is>
      </c>
      <c r="G1" s="3" t="inlineStr">
        <is>
          <t>Status</t>
        </is>
      </c>
      <c r="H1" s="3" t="inlineStr">
        <is>
          <t>Completion %</t>
        </is>
      </c>
      <c r="I1" s="3" t="inlineStr">
        <is>
          <t>Wave</t>
        </is>
      </c>
      <c r="J1" s="3" t="inlineStr">
        <is>
          <t>Deployed</t>
        </is>
      </c>
      <c r="K1" s="3" t="inlineStr">
        <is>
          <t>Needs</t>
        </is>
      </c>
      <c r="L1" s="3" t="inlineStr">
        <is>
          <t>Current Implementation</t>
        </is>
      </c>
      <c r="M1" s="3" t="inlineStr">
        <is>
          <t>Next Action / Missing Work</t>
        </is>
      </c>
      <c r="N1" s="3" t="inlineStr">
        <is>
          <t>Key Files</t>
        </is>
      </c>
      <c r="O1" s="3" t="inlineStr">
        <is>
          <t>Depends On</t>
        </is>
      </c>
      <c r="P1" s="3" t="inlineStr">
        <is>
          <t>Last Updated</t>
        </is>
      </c>
      <c r="Q1" s="3" t="inlineStr">
        <is>
          <t>Review Status</t>
        </is>
      </c>
      <c r="R1" s="3" t="inlineStr">
        <is>
          <t>Reviewer Notes</t>
        </is>
      </c>
    </row>
    <row r="2">
      <c r="A2" s="11" t="n">
        <v>1</v>
      </c>
      <c r="B2" s="11" t="n">
        <v>0</v>
      </c>
      <c r="C2" s="11" t="inlineStr">
        <is>
          <t>Delivered baseline (maintain)</t>
        </is>
      </c>
      <c r="D2" s="11" t="inlineStr">
        <is>
          <t>DP-02</t>
        </is>
      </c>
      <c r="E2" s="11" t="inlineStr">
        <is>
          <t>Data Platform</t>
        </is>
      </c>
      <c r="F2" s="11" t="inlineStr">
        <is>
          <t>Daily OHLCV history</t>
        </is>
      </c>
      <c r="G2" s="12" t="inlineStr">
        <is>
          <t>COMPLETED</t>
        </is>
      </c>
      <c r="H2" s="13" t="n">
        <v>0.9</v>
      </c>
      <c r="I2" s="11" t="inlineStr"/>
      <c r="J2" s="11" t="inlineStr">
        <is>
          <t>Live (ATIP-W24-RC1)</t>
        </is>
      </c>
      <c r="K2" s="11" t="inlineStr"/>
      <c r="L2" s="11" t="inlineStr">
        <is>
          <t>NSE Bhavcopy + Dhan; coverage/freshness/duplicate guards</t>
        </is>
      </c>
      <c r="M2" s="11" t="inlineStr">
        <is>
          <t>Maintain</t>
        </is>
      </c>
      <c r="N2" s="11" t="inlineStr">
        <is>
          <t>data/bhavcopy.py; data/dhan.py</t>
        </is>
      </c>
      <c r="O2" s="11" t="inlineStr"/>
      <c r="P2" s="11" t="inlineStr">
        <is>
          <t>2026-09-24</t>
        </is>
      </c>
      <c r="Q2" s="14" t="inlineStr"/>
      <c r="R2" s="14" t="inlineStr"/>
    </row>
    <row r="3">
      <c r="A3" s="11" t="n">
        <v>2</v>
      </c>
      <c r="B3" s="11" t="n">
        <v>0</v>
      </c>
      <c r="C3" s="11" t="inlineStr">
        <is>
          <t>Delivered baseline (maintain)</t>
        </is>
      </c>
      <c r="D3" s="11" t="inlineStr">
        <is>
          <t>DP-07</t>
        </is>
      </c>
      <c r="E3" s="11" t="inlineStr">
        <is>
          <t>Data Platform</t>
        </is>
      </c>
      <c r="F3" s="11" t="inlineStr">
        <is>
          <t>Delivery data</t>
        </is>
      </c>
      <c r="G3" s="12" t="inlineStr">
        <is>
          <t>COMPLETED</t>
        </is>
      </c>
      <c r="H3" s="13" t="n">
        <v>0.9</v>
      </c>
      <c r="I3" s="11" t="inlineStr"/>
      <c r="J3" s="11" t="inlineStr">
        <is>
          <t>Live (ATIP-W24-RC1)</t>
        </is>
      </c>
      <c r="K3" s="11" t="inlineStr"/>
      <c r="L3" s="11" t="inlineStr">
        <is>
          <t>Full Bhavcopy nightly + backfill</t>
        </is>
      </c>
      <c r="M3" s="11" t="inlineStr">
        <is>
          <t>Maintain</t>
        </is>
      </c>
      <c r="N3" s="11" t="inlineStr">
        <is>
          <t>data/bhavcopy.py</t>
        </is>
      </c>
      <c r="O3" s="11" t="inlineStr"/>
      <c r="P3" s="11" t="inlineStr">
        <is>
          <t>2026-09-24</t>
        </is>
      </c>
      <c r="Q3" s="14" t="inlineStr"/>
      <c r="R3" s="14" t="inlineStr"/>
    </row>
    <row r="4">
      <c r="A4" s="11" t="n">
        <v>3</v>
      </c>
      <c r="B4" s="11" t="n">
        <v>0</v>
      </c>
      <c r="C4" s="11" t="inlineStr">
        <is>
          <t>Delivered baseline (maintain)</t>
        </is>
      </c>
      <c r="D4" s="11" t="inlineStr">
        <is>
          <t>DP-20</t>
        </is>
      </c>
      <c r="E4" s="11" t="inlineStr">
        <is>
          <t>Data Platform</t>
        </is>
      </c>
      <c r="F4" s="11" t="inlineStr">
        <is>
          <t>Trading calendar</t>
        </is>
      </c>
      <c r="G4" s="12" t="inlineStr">
        <is>
          <t>COMPLETED</t>
        </is>
      </c>
      <c r="H4" s="13" t="n">
        <v>0.9</v>
      </c>
      <c r="I4" s="11" t="inlineStr"/>
      <c r="J4" s="11" t="inlineStr">
        <is>
          <t>Live (ATIP-W24-RC1)</t>
        </is>
      </c>
      <c r="K4" s="11" t="inlineStr"/>
      <c r="L4" s="11" t="inlineStr">
        <is>
          <t>2025-26 holidays + budget sessions</t>
        </is>
      </c>
      <c r="M4" s="11" t="inlineStr">
        <is>
          <t>Add next year's holidays each December</t>
        </is>
      </c>
      <c r="N4" s="11" t="inlineStr">
        <is>
          <t>utils/trading_calendar.py</t>
        </is>
      </c>
      <c r="O4" s="11" t="inlineStr"/>
      <c r="P4" s="11" t="inlineStr">
        <is>
          <t>2026-09-24</t>
        </is>
      </c>
      <c r="Q4" s="14" t="inlineStr"/>
      <c r="R4" s="14" t="inlineStr"/>
    </row>
    <row r="5">
      <c r="A5" s="11" t="n">
        <v>4</v>
      </c>
      <c r="B5" s="11" t="n">
        <v>0</v>
      </c>
      <c r="C5" s="11" t="inlineStr">
        <is>
          <t>Delivered baseline (maintain)</t>
        </is>
      </c>
      <c r="D5" s="11" t="inlineStr">
        <is>
          <t>TA-01</t>
        </is>
      </c>
      <c r="E5" s="11" t="inlineStr">
        <is>
          <t>Technical Analysis</t>
        </is>
      </c>
      <c r="F5" s="11" t="inlineStr">
        <is>
          <t>Core indicators</t>
        </is>
      </c>
      <c r="G5" s="12" t="inlineStr">
        <is>
          <t>COMPLETED</t>
        </is>
      </c>
      <c r="H5" s="13" t="n">
        <v>0.9</v>
      </c>
      <c r="I5" s="11" t="inlineStr"/>
      <c r="J5" s="11" t="inlineStr">
        <is>
          <t>Live (ATIP-W24-RC1)</t>
        </is>
      </c>
      <c r="K5" s="11" t="inlineStr"/>
      <c r="L5" s="11" t="inlineStr">
        <is>
          <t>Computed and stored; MACD fixed and normalised</t>
        </is>
      </c>
      <c r="M5" s="11" t="inlineStr">
        <is>
          <t>Maintain</t>
        </is>
      </c>
      <c r="N5" s="11" t="inlineStr">
        <is>
          <t>data/technical.py</t>
        </is>
      </c>
      <c r="O5" s="11" t="inlineStr"/>
      <c r="P5" s="11" t="inlineStr">
        <is>
          <t>2026-09-24</t>
        </is>
      </c>
      <c r="Q5" s="14" t="inlineStr"/>
      <c r="R5" s="14" t="inlineStr"/>
    </row>
    <row r="6">
      <c r="A6" s="11" t="n">
        <v>5</v>
      </c>
      <c r="B6" s="11" t="n">
        <v>0</v>
      </c>
      <c r="C6" s="11" t="inlineStr">
        <is>
          <t>Delivered baseline (maintain)</t>
        </is>
      </c>
      <c r="D6" s="11" t="inlineStr">
        <is>
          <t>TA-02</t>
        </is>
      </c>
      <c r="E6" s="11" t="inlineStr">
        <is>
          <t>Technical Analysis</t>
        </is>
      </c>
      <c r="F6" s="11" t="inlineStr">
        <is>
          <t>Extended oscillators</t>
        </is>
      </c>
      <c r="G6" s="12" t="inlineStr">
        <is>
          <t>COMPLETED</t>
        </is>
      </c>
      <c r="H6" s="13" t="n">
        <v>0.8</v>
      </c>
      <c r="I6" s="11" t="inlineStr"/>
      <c r="J6" s="11" t="inlineStr">
        <is>
          <t>Live (ATIP-W24-RC1)</t>
        </is>
      </c>
      <c r="K6" s="11" t="inlineStr"/>
      <c r="L6" s="11" t="inlineStr">
        <is>
          <t>Computed and stored</t>
        </is>
      </c>
      <c r="M6" s="11" t="inlineStr">
        <is>
          <t>Maintain</t>
        </is>
      </c>
      <c r="N6" s="11" t="inlineStr">
        <is>
          <t>data/technical.py</t>
        </is>
      </c>
      <c r="O6" s="11" t="inlineStr"/>
      <c r="P6" s="11" t="inlineStr">
        <is>
          <t>2026-09-24</t>
        </is>
      </c>
      <c r="Q6" s="14" t="inlineStr"/>
      <c r="R6" s="14" t="inlineStr"/>
    </row>
    <row r="7">
      <c r="A7" s="11" t="n">
        <v>6</v>
      </c>
      <c r="B7" s="11" t="n">
        <v>0</v>
      </c>
      <c r="C7" s="11" t="inlineStr">
        <is>
          <t>Delivered baseline (maintain)</t>
        </is>
      </c>
      <c r="D7" s="11" t="inlineStr">
        <is>
          <t>TA-05</t>
        </is>
      </c>
      <c r="E7" s="11" t="inlineStr">
        <is>
          <t>Technical Analysis</t>
        </is>
      </c>
      <c r="F7" s="11" t="inlineStr">
        <is>
          <t>Fibonacci</t>
        </is>
      </c>
      <c r="G7" s="12" t="inlineStr">
        <is>
          <t>COMPLETED</t>
        </is>
      </c>
      <c r="H7" s="13" t="n">
        <v>0.8</v>
      </c>
      <c r="I7" s="11" t="inlineStr"/>
      <c r="J7" s="11" t="inlineStr">
        <is>
          <t>Live (ATIP-W24-RC1)</t>
        </is>
      </c>
      <c r="K7" s="11" t="inlineStr"/>
      <c r="L7" s="11" t="inlineStr">
        <is>
          <t>52-week 23.6/38.2/50/61.8 levels</t>
        </is>
      </c>
      <c r="M7" s="11" t="inlineStr">
        <is>
          <t>Optional: swing-anchored levels</t>
        </is>
      </c>
      <c r="N7" s="11" t="inlineStr">
        <is>
          <t>data/technical.py</t>
        </is>
      </c>
      <c r="O7" s="11" t="inlineStr"/>
      <c r="P7" s="11" t="inlineStr">
        <is>
          <t>2026-09-24</t>
        </is>
      </c>
      <c r="Q7" s="14" t="inlineStr"/>
      <c r="R7" s="14" t="inlineStr"/>
    </row>
    <row r="8">
      <c r="A8" s="11" t="n">
        <v>7</v>
      </c>
      <c r="B8" s="11" t="n">
        <v>0</v>
      </c>
      <c r="C8" s="11" t="inlineStr">
        <is>
          <t>Delivered baseline (maintain)</t>
        </is>
      </c>
      <c r="D8" s="11" t="inlineStr">
        <is>
          <t>TA-07</t>
        </is>
      </c>
      <c r="E8" s="11" t="inlineStr">
        <is>
          <t>Technical Analysis</t>
        </is>
      </c>
      <c r="F8" s="11" t="inlineStr">
        <is>
          <t>Trend features</t>
        </is>
      </c>
      <c r="G8" s="12" t="inlineStr">
        <is>
          <t>COMPLETED</t>
        </is>
      </c>
      <c r="H8" s="13" t="n">
        <v>0.8</v>
      </c>
      <c r="I8" s="11" t="inlineStr"/>
      <c r="J8" s="11" t="inlineStr">
        <is>
          <t>Live (ATIP-W24-RC1)</t>
        </is>
      </c>
      <c r="K8" s="11" t="inlineStr"/>
      <c r="L8" s="11" t="inlineStr">
        <is>
          <t>Computed and stored</t>
        </is>
      </c>
      <c r="M8" s="11" t="inlineStr">
        <is>
          <t>Maintain</t>
        </is>
      </c>
      <c r="N8" s="11" t="inlineStr">
        <is>
          <t>data/technical.py</t>
        </is>
      </c>
      <c r="O8" s="11" t="inlineStr"/>
      <c r="P8" s="11" t="inlineStr">
        <is>
          <t>2026-09-24</t>
        </is>
      </c>
      <c r="Q8" s="14" t="inlineStr"/>
      <c r="R8" s="14" t="inlineStr"/>
    </row>
    <row r="9">
      <c r="A9" s="11" t="n">
        <v>8</v>
      </c>
      <c r="B9" s="11" t="n">
        <v>0</v>
      </c>
      <c r="C9" s="11" t="inlineStr">
        <is>
          <t>Delivered baseline (maintain)</t>
        </is>
      </c>
      <c r="D9" s="11" t="inlineStr">
        <is>
          <t>TA-08</t>
        </is>
      </c>
      <c r="E9" s="11" t="inlineStr">
        <is>
          <t>Technical Analysis</t>
        </is>
      </c>
      <c r="F9" s="11" t="inlineStr">
        <is>
          <t>Relative strength</t>
        </is>
      </c>
      <c r="G9" s="12" t="inlineStr">
        <is>
          <t>COMPLETED</t>
        </is>
      </c>
      <c r="H9" s="13" t="n">
        <v>0.8</v>
      </c>
      <c r="I9" s="11" t="inlineStr"/>
      <c r="J9" s="11" t="inlineStr">
        <is>
          <t>Live (ATIP-W24-RC1)</t>
        </is>
      </c>
      <c r="K9" s="11" t="inlineStr"/>
      <c r="L9" s="11" t="inlineStr">
        <is>
          <t>20-day RS with date-matched benchmark</t>
        </is>
      </c>
      <c r="M9" s="11" t="inlineStr">
        <is>
          <t>Sector-relative RS later (TA-08b in Phase 2 if wanted)</t>
        </is>
      </c>
      <c r="N9" s="11" t="inlineStr">
        <is>
          <t>scores/engine.py</t>
        </is>
      </c>
      <c r="O9" s="11" t="inlineStr"/>
      <c r="P9" s="11" t="inlineStr">
        <is>
          <t>2026-09-24</t>
        </is>
      </c>
      <c r="Q9" s="14" t="inlineStr"/>
      <c r="R9" s="14" t="inlineStr"/>
    </row>
    <row r="10">
      <c r="A10" s="11" t="n">
        <v>9</v>
      </c>
      <c r="B10" s="11" t="n">
        <v>0</v>
      </c>
      <c r="C10" s="11" t="inlineStr">
        <is>
          <t>Delivered baseline (maintain)</t>
        </is>
      </c>
      <c r="D10" s="11" t="inlineStr">
        <is>
          <t>SC-03</t>
        </is>
      </c>
      <c r="E10" s="11" t="inlineStr">
        <is>
          <t>Alpha/Factor Engine</t>
        </is>
      </c>
      <c r="F10" s="11" t="inlineStr">
        <is>
          <t>RRI</t>
        </is>
      </c>
      <c r="G10" s="12" t="inlineStr">
        <is>
          <t>COMPLETED</t>
        </is>
      </c>
      <c r="H10" s="13" t="n">
        <v>0.75</v>
      </c>
      <c r="I10" s="11" t="inlineStr"/>
      <c r="J10" s="11" t="inlineStr">
        <is>
          <t>Live (ATIP-W24-RC1)</t>
        </is>
      </c>
      <c r="K10" s="11" t="inlineStr"/>
      <c r="L10" s="11" t="inlineStr">
        <is>
          <t>Implemented</t>
        </is>
      </c>
      <c r="M10" s="11" t="inlineStr">
        <is>
          <t>Institutional input improves with SC-14</t>
        </is>
      </c>
      <c r="N10" s="11" t="inlineStr">
        <is>
          <t>scores/engine.py</t>
        </is>
      </c>
      <c r="O10" s="11" t="inlineStr"/>
      <c r="P10" s="11" t="inlineStr">
        <is>
          <t>2026-09-24</t>
        </is>
      </c>
      <c r="Q10" s="14" t="inlineStr"/>
      <c r="R10" s="14" t="inlineStr"/>
    </row>
    <row r="11">
      <c r="A11" s="11" t="n">
        <v>10</v>
      </c>
      <c r="B11" s="11" t="n">
        <v>0</v>
      </c>
      <c r="C11" s="11" t="inlineStr">
        <is>
          <t>Delivered baseline (maintain)</t>
        </is>
      </c>
      <c r="D11" s="11" t="inlineStr">
        <is>
          <t>SC-04</t>
        </is>
      </c>
      <c r="E11" s="11" t="inlineStr">
        <is>
          <t>Alpha/Factor Engine</t>
        </is>
      </c>
      <c r="F11" s="11" t="inlineStr">
        <is>
          <t>MRI</t>
        </is>
      </c>
      <c r="G11" s="12" t="inlineStr">
        <is>
          <t>COMPLETED</t>
        </is>
      </c>
      <c r="H11" s="13" t="n">
        <v>0.85</v>
      </c>
      <c r="I11" s="11" t="inlineStr"/>
      <c r="J11" s="11" t="inlineStr">
        <is>
          <t>Live (ATIP-W24-RC1)</t>
        </is>
      </c>
      <c r="K11" s="11" t="inlineStr"/>
      <c r="L11" s="11" t="inlineStr">
        <is>
          <t>Implemented; MACD corrected</t>
        </is>
      </c>
      <c r="M11" s="11" t="inlineStr">
        <is>
          <t>Maintain</t>
        </is>
      </c>
      <c r="N11" s="11" t="inlineStr">
        <is>
          <t>scores/engine.py</t>
        </is>
      </c>
      <c r="O11" s="11" t="inlineStr"/>
      <c r="P11" s="11" t="inlineStr">
        <is>
          <t>2026-09-24</t>
        </is>
      </c>
      <c r="Q11" s="14" t="inlineStr"/>
      <c r="R11" s="14" t="inlineStr"/>
    </row>
    <row r="12">
      <c r="A12" s="11" t="n">
        <v>11</v>
      </c>
      <c r="B12" s="11" t="n">
        <v>0</v>
      </c>
      <c r="C12" s="11" t="inlineStr">
        <is>
          <t>Delivered baseline (maintain)</t>
        </is>
      </c>
      <c r="D12" s="11" t="inlineStr">
        <is>
          <t>SC-07</t>
        </is>
      </c>
      <c r="E12" s="11" t="inlineStr">
        <is>
          <t>Alpha/Factor Engine</t>
        </is>
      </c>
      <c r="F12" s="11" t="inlineStr">
        <is>
          <t>ZPI</t>
        </is>
      </c>
      <c r="G12" s="12" t="inlineStr">
        <is>
          <t>COMPLETED</t>
        </is>
      </c>
      <c r="H12" s="13" t="n">
        <v>0.8</v>
      </c>
      <c r="I12" s="11" t="inlineStr"/>
      <c r="J12" s="11" t="inlineStr">
        <is>
          <t>Live (ATIP-W24-RC1)</t>
        </is>
      </c>
      <c r="K12" s="11" t="inlineStr"/>
      <c r="L12" s="11" t="inlineStr">
        <is>
          <t>Implemented + delivery component</t>
        </is>
      </c>
      <c r="M12" s="11" t="inlineStr">
        <is>
          <t>Maintain</t>
        </is>
      </c>
      <c r="N12" s="11" t="inlineStr">
        <is>
          <t>scores/engine.py</t>
        </is>
      </c>
      <c r="O12" s="11" t="inlineStr"/>
      <c r="P12" s="11" t="inlineStr">
        <is>
          <t>2026-09-24</t>
        </is>
      </c>
      <c r="Q12" s="14" t="inlineStr"/>
      <c r="R12" s="14" t="inlineStr"/>
    </row>
    <row r="13">
      <c r="A13" s="11" t="n">
        <v>12</v>
      </c>
      <c r="B13" s="11" t="n">
        <v>0</v>
      </c>
      <c r="C13" s="11" t="inlineStr">
        <is>
          <t>Delivered baseline (maintain)</t>
        </is>
      </c>
      <c r="D13" s="11" t="inlineStr">
        <is>
          <t>SC-10</t>
        </is>
      </c>
      <c r="E13" s="11" t="inlineStr">
        <is>
          <t>Alpha/Factor Engine</t>
        </is>
      </c>
      <c r="F13" s="11" t="inlineStr">
        <is>
          <t>Portfolio Health score</t>
        </is>
      </c>
      <c r="G13" s="12" t="inlineStr">
        <is>
          <t>COMPLETED</t>
        </is>
      </c>
      <c r="H13" s="13" t="n">
        <v>0.75</v>
      </c>
      <c r="I13" s="11" t="inlineStr"/>
      <c r="J13" s="11" t="inlineStr">
        <is>
          <t>Live (ATIP-W24-RC1)</t>
        </is>
      </c>
      <c r="K13" s="11" t="inlineStr"/>
      <c r="L13" s="11" t="inlineStr">
        <is>
          <t>Implemented</t>
        </is>
      </c>
      <c r="M13" s="11" t="inlineStr">
        <is>
          <t>Correlation/drawdown inputs come with PF-09 and PF-13</t>
        </is>
      </c>
      <c r="N13" s="11" t="inlineStr">
        <is>
          <t>scores/portfolio_health.py</t>
        </is>
      </c>
      <c r="O13" s="11" t="inlineStr"/>
      <c r="P13" s="11" t="inlineStr">
        <is>
          <t>2026-09-24</t>
        </is>
      </c>
      <c r="Q13" s="14" t="inlineStr"/>
      <c r="R13" s="14" t="inlineStr"/>
    </row>
    <row r="14">
      <c r="A14" s="11" t="n">
        <v>13</v>
      </c>
      <c r="B14" s="11" t="n">
        <v>0</v>
      </c>
      <c r="C14" s="11" t="inlineStr">
        <is>
          <t>Delivered baseline (maintain)</t>
        </is>
      </c>
      <c r="D14" s="11" t="inlineStr">
        <is>
          <t>PF-05</t>
        </is>
      </c>
      <c r="E14" s="11" t="inlineStr">
        <is>
          <t>Portfolio</t>
        </is>
      </c>
      <c r="F14" s="11" t="inlineStr">
        <is>
          <t>Portfolio health</t>
        </is>
      </c>
      <c r="G14" s="12" t="inlineStr">
        <is>
          <t>COMPLETED</t>
        </is>
      </c>
      <c r="H14" s="13" t="n">
        <v>0.75</v>
      </c>
      <c r="I14" s="11" t="inlineStr"/>
      <c r="J14" s="11" t="inlineStr">
        <is>
          <t>Live (ATIP-W24-RC1)</t>
        </is>
      </c>
      <c r="K14" s="11" t="inlineStr"/>
      <c r="L14" s="11" t="inlineStr">
        <is>
          <t>Implemented + dashboard</t>
        </is>
      </c>
      <c r="M14" s="11" t="inlineStr">
        <is>
          <t>Maintain</t>
        </is>
      </c>
      <c r="N14" s="11" t="inlineStr">
        <is>
          <t>scores/portfolio_health.py</t>
        </is>
      </c>
      <c r="O14" s="11" t="inlineStr"/>
      <c r="P14" s="11" t="inlineStr">
        <is>
          <t>2026-09-24</t>
        </is>
      </c>
      <c r="Q14" s="14" t="inlineStr"/>
      <c r="R14" s="14" t="inlineStr"/>
    </row>
    <row r="15">
      <c r="A15" s="11" t="n">
        <v>14</v>
      </c>
      <c r="B15" s="11" t="n">
        <v>0</v>
      </c>
      <c r="C15" s="11" t="inlineStr">
        <is>
          <t>Delivered baseline (maintain)</t>
        </is>
      </c>
      <c r="D15" s="11" t="inlineStr">
        <is>
          <t>SC-11</t>
        </is>
      </c>
      <c r="E15" s="11" t="inlineStr">
        <is>
          <t>Alpha/Factor Engine</t>
        </is>
      </c>
      <c r="F15" s="11" t="inlineStr">
        <is>
          <t>Trade of the Day</t>
        </is>
      </c>
      <c r="G15" s="12" t="inlineStr">
        <is>
          <t>COMPLETED</t>
        </is>
      </c>
      <c r="H15" s="13" t="n">
        <v>0.8</v>
      </c>
      <c r="I15" s="11" t="inlineStr"/>
      <c r="J15" s="11" t="inlineStr">
        <is>
          <t>Live (ATIP-W24-RC1)</t>
        </is>
      </c>
      <c r="K15" s="11" t="inlineStr"/>
      <c r="L15" s="11" t="inlineStr">
        <is>
          <t>Implemented; one TOD per session</t>
        </is>
      </c>
      <c r="M15" s="11" t="inlineStr">
        <is>
          <t>Maintain</t>
        </is>
      </c>
      <c r="N15" s="11" t="inlineStr">
        <is>
          <t>scores/engine.py</t>
        </is>
      </c>
      <c r="O15" s="11" t="inlineStr"/>
      <c r="P15" s="11" t="inlineStr">
        <is>
          <t>2026-09-24</t>
        </is>
      </c>
      <c r="Q15" s="14" t="inlineStr"/>
      <c r="R15" s="14" t="inlineStr"/>
    </row>
    <row r="16">
      <c r="A16" s="11" t="n">
        <v>15</v>
      </c>
      <c r="B16" s="11" t="n">
        <v>0</v>
      </c>
      <c r="C16" s="11" t="inlineStr">
        <is>
          <t>Delivered baseline (maintain)</t>
        </is>
      </c>
      <c r="D16" s="11" t="inlineStr">
        <is>
          <t>SC-15</t>
        </is>
      </c>
      <c r="E16" s="11" t="inlineStr">
        <is>
          <t>Alpha/Factor Engine</t>
        </is>
      </c>
      <c r="F16" s="11" t="inlineStr">
        <is>
          <t>Overall ATIP score + rank</t>
        </is>
      </c>
      <c r="G16" s="12" t="inlineStr">
        <is>
          <t>COMPLETED</t>
        </is>
      </c>
      <c r="H16" s="13" t="n">
        <v>0.8</v>
      </c>
      <c r="I16" s="11" t="inlineStr"/>
      <c r="J16" s="11" t="inlineStr">
        <is>
          <t>Live (ATIP-W24-RC1)</t>
        </is>
      </c>
      <c r="K16" s="11" t="inlineStr"/>
      <c r="L16" s="11" t="inlineStr">
        <is>
          <t>Implemented; rank stored</t>
        </is>
      </c>
      <c r="M16" s="11" t="inlineStr">
        <is>
          <t>Maintain</t>
        </is>
      </c>
      <c r="N16" s="11" t="inlineStr">
        <is>
          <t>scores/engine.py</t>
        </is>
      </c>
      <c r="O16" s="11" t="inlineStr"/>
      <c r="P16" s="11" t="inlineStr">
        <is>
          <t>2026-09-24</t>
        </is>
      </c>
      <c r="Q16" s="14" t="inlineStr"/>
      <c r="R16" s="14" t="inlineStr"/>
    </row>
    <row r="17">
      <c r="A17" s="11" t="n">
        <v>16</v>
      </c>
      <c r="B17" s="11" t="n">
        <v>0</v>
      </c>
      <c r="C17" s="11" t="inlineStr">
        <is>
          <t>Delivered baseline (maintain)</t>
        </is>
      </c>
      <c r="D17" s="11" t="inlineStr">
        <is>
          <t>SC-17</t>
        </is>
      </c>
      <c r="E17" s="11" t="inlineStr">
        <is>
          <t>Alpha/Factor Engine</t>
        </is>
      </c>
      <c r="F17" s="11" t="inlineStr">
        <is>
          <t>Configurable weights</t>
        </is>
      </c>
      <c r="G17" s="12" t="inlineStr">
        <is>
          <t>COMPLETED</t>
        </is>
      </c>
      <c r="H17" s="13" t="n">
        <v>0.8</v>
      </c>
      <c r="I17" s="11" t="inlineStr"/>
      <c r="J17" s="11" t="inlineStr">
        <is>
          <t>Live (ATIP-W24-RC1)</t>
        </is>
      </c>
      <c r="K17" s="11" t="inlineStr"/>
      <c r="L17" s="11" t="inlineStr">
        <is>
          <t>weight_config table</t>
        </is>
      </c>
      <c r="M17" s="11" t="inlineStr">
        <is>
          <t>Regime-specific rows used by ML-05</t>
        </is>
      </c>
      <c r="N17" s="11" t="inlineStr">
        <is>
          <t>db/schema.py</t>
        </is>
      </c>
      <c r="O17" s="11" t="inlineStr"/>
      <c r="P17" s="11" t="inlineStr">
        <is>
          <t>2026-09-24</t>
        </is>
      </c>
      <c r="Q17" s="14" t="inlineStr"/>
      <c r="R17" s="14" t="inlineStr"/>
    </row>
    <row r="18">
      <c r="A18" s="11" t="n">
        <v>17</v>
      </c>
      <c r="B18" s="11" t="n">
        <v>0</v>
      </c>
      <c r="C18" s="11" t="inlineStr">
        <is>
          <t>Delivered baseline (maintain)</t>
        </is>
      </c>
      <c r="D18" s="11" t="inlineStr">
        <is>
          <t>SG-02</t>
        </is>
      </c>
      <c r="E18" s="11" t="inlineStr">
        <is>
          <t>Signal Engine</t>
        </is>
      </c>
      <c r="F18" s="11" t="inlineStr">
        <is>
          <t>Signal validation</t>
        </is>
      </c>
      <c r="G18" s="12" t="inlineStr">
        <is>
          <t>COMPLETED</t>
        </is>
      </c>
      <c r="H18" s="13" t="n">
        <v>0.75</v>
      </c>
      <c r="I18" s="11" t="inlineStr"/>
      <c r="J18" s="11" t="inlineStr">
        <is>
          <t>Live (ATIP-W24-RC1)</t>
        </is>
      </c>
      <c r="K18" s="11" t="inlineStr"/>
      <c r="L18" s="11" t="inlineStr">
        <is>
          <t>EOD coverage guard; FII/DII hold</t>
        </is>
      </c>
      <c r="M18" s="11" t="inlineStr">
        <is>
          <t>Maintain</t>
        </is>
      </c>
      <c r="N18" s="11" t="inlineStr">
        <is>
          <t>pipeline/scheduler.py</t>
        </is>
      </c>
      <c r="O18" s="11" t="inlineStr"/>
      <c r="P18" s="11" t="inlineStr">
        <is>
          <t>2026-09-24</t>
        </is>
      </c>
      <c r="Q18" s="14" t="inlineStr"/>
      <c r="R18" s="14" t="inlineStr"/>
    </row>
    <row r="19">
      <c r="A19" s="11" t="n">
        <v>18</v>
      </c>
      <c r="B19" s="11" t="n">
        <v>0</v>
      </c>
      <c r="C19" s="11" t="inlineStr">
        <is>
          <t>Delivered baseline (maintain)</t>
        </is>
      </c>
      <c r="D19" s="11" t="inlineStr">
        <is>
          <t>SG-03</t>
        </is>
      </c>
      <c r="E19" s="11" t="inlineStr">
        <is>
          <t>Signal Engine</t>
        </is>
      </c>
      <c r="F19" s="11" t="inlineStr">
        <is>
          <t>Signal ranking</t>
        </is>
      </c>
      <c r="G19" s="12" t="inlineStr">
        <is>
          <t>COMPLETED</t>
        </is>
      </c>
      <c r="H19" s="13" t="n">
        <v>0.85</v>
      </c>
      <c r="I19" s="11" t="inlineStr"/>
      <c r="J19" s="11" t="inlineStr">
        <is>
          <t>Live (ATIP-W24-RC1)</t>
        </is>
      </c>
      <c r="K19" s="11" t="inlineStr"/>
      <c r="L19" s="11" t="inlineStr">
        <is>
          <t>Implemented</t>
        </is>
      </c>
      <c r="M19" s="11" t="inlineStr">
        <is>
          <t>Maintain</t>
        </is>
      </c>
      <c r="N19" s="11" t="inlineStr">
        <is>
          <t>scores/engine.py</t>
        </is>
      </c>
      <c r="O19" s="11" t="inlineStr"/>
      <c r="P19" s="11" t="inlineStr">
        <is>
          <t>2026-09-24</t>
        </is>
      </c>
      <c r="Q19" s="14" t="inlineStr"/>
      <c r="R19" s="14" t="inlineStr"/>
    </row>
    <row r="20">
      <c r="A20" s="11" t="n">
        <v>19</v>
      </c>
      <c r="B20" s="11" t="n">
        <v>0</v>
      </c>
      <c r="C20" s="11" t="inlineStr">
        <is>
          <t>Delivered baseline (maintain)</t>
        </is>
      </c>
      <c r="D20" s="11" t="inlineStr">
        <is>
          <t>SG-05</t>
        </is>
      </c>
      <c r="E20" s="11" t="inlineStr">
        <is>
          <t>Signal Engine</t>
        </is>
      </c>
      <c r="F20" s="11" t="inlineStr">
        <is>
          <t>Trade plan</t>
        </is>
      </c>
      <c r="G20" s="12" t="inlineStr">
        <is>
          <t>COMPLETED</t>
        </is>
      </c>
      <c r="H20" s="13" t="n">
        <v>0.75</v>
      </c>
      <c r="I20" s="11" t="inlineStr"/>
      <c r="J20" s="11" t="inlineStr">
        <is>
          <t>Live (ATIP-W24-RC1)</t>
        </is>
      </c>
      <c r="K20" s="11" t="inlineStr"/>
      <c r="L20" s="11" t="inlineStr">
        <is>
          <t>Implemented</t>
        </is>
      </c>
      <c r="M20" s="11" t="inlineStr">
        <is>
          <t>Maintain</t>
        </is>
      </c>
      <c r="N20" s="11" t="inlineStr">
        <is>
          <t>scores/predictions.py</t>
        </is>
      </c>
      <c r="O20" s="11" t="inlineStr"/>
      <c r="P20" s="11" t="inlineStr">
        <is>
          <t>2026-09-24</t>
        </is>
      </c>
      <c r="Q20" s="14" t="inlineStr"/>
      <c r="R20" s="14" t="inlineStr"/>
    </row>
    <row r="21">
      <c r="A21" s="11" t="n">
        <v>20</v>
      </c>
      <c r="B21" s="11" t="n">
        <v>0</v>
      </c>
      <c r="C21" s="11" t="inlineStr">
        <is>
          <t>Delivered baseline (maintain)</t>
        </is>
      </c>
      <c r="D21" s="11" t="inlineStr">
        <is>
          <t>SG-06</t>
        </is>
      </c>
      <c r="E21" s="11" t="inlineStr">
        <is>
          <t>Signal Engine</t>
        </is>
      </c>
      <c r="F21" s="11" t="inlineStr">
        <is>
          <t>Outcome tracking</t>
        </is>
      </c>
      <c r="G21" s="12" t="inlineStr">
        <is>
          <t>COMPLETED</t>
        </is>
      </c>
      <c r="H21" s="13" t="n">
        <v>0.8</v>
      </c>
      <c r="I21" s="11" t="inlineStr"/>
      <c r="J21" s="11" t="inlineStr">
        <is>
          <t>Live (ATIP-W24-RC1)</t>
        </is>
      </c>
      <c r="K21" s="11" t="inlineStr"/>
      <c r="L21" s="11" t="inlineStr">
        <is>
          <t>Implemented; corrected denominator</t>
        </is>
      </c>
      <c r="M21" s="11" t="inlineStr">
        <is>
          <t>Maintain</t>
        </is>
      </c>
      <c r="N21" s="11" t="inlineStr">
        <is>
          <t>scores/signal_log.py</t>
        </is>
      </c>
      <c r="O21" s="11" t="inlineStr"/>
      <c r="P21" s="11" t="inlineStr">
        <is>
          <t>2026-09-24</t>
        </is>
      </c>
      <c r="Q21" s="14" t="inlineStr"/>
      <c r="R21" s="14" t="inlineStr"/>
    </row>
    <row r="22">
      <c r="A22" s="11" t="n">
        <v>21</v>
      </c>
      <c r="B22" s="11" t="n">
        <v>0</v>
      </c>
      <c r="C22" s="11" t="inlineStr">
        <is>
          <t>Delivered baseline (maintain)</t>
        </is>
      </c>
      <c r="D22" s="11" t="inlineStr">
        <is>
          <t>SG-07</t>
        </is>
      </c>
      <c r="E22" s="11" t="inlineStr">
        <is>
          <t>Signal Engine</t>
        </is>
      </c>
      <c r="F22" s="11" t="inlineStr">
        <is>
          <t>Signal provenance log</t>
        </is>
      </c>
      <c r="G22" s="12" t="inlineStr">
        <is>
          <t>COMPLETED</t>
        </is>
      </c>
      <c r="H22" s="13" t="n">
        <v>0.8</v>
      </c>
      <c r="I22" s="11" t="inlineStr"/>
      <c r="J22" s="11" t="inlineStr">
        <is>
          <t>Live (ATIP-W24-RC1)</t>
        </is>
      </c>
      <c r="K22" s="11" t="inlineStr"/>
      <c r="L22" s="11" t="inlineStr">
        <is>
          <t>Append-only signal_log</t>
        </is>
      </c>
      <c r="M22" s="11" t="inlineStr">
        <is>
          <t>Maintain</t>
        </is>
      </c>
      <c r="N22" s="11" t="inlineStr">
        <is>
          <t>scores/signal_log.py</t>
        </is>
      </c>
      <c r="O22" s="11" t="inlineStr"/>
      <c r="P22" s="11" t="inlineStr">
        <is>
          <t>2026-09-24</t>
        </is>
      </c>
      <c r="Q22" s="14" t="inlineStr"/>
      <c r="R22" s="14" t="inlineStr"/>
    </row>
    <row r="23">
      <c r="A23" s="11" t="n">
        <v>22</v>
      </c>
      <c r="B23" s="11" t="n">
        <v>0</v>
      </c>
      <c r="C23" s="11" t="inlineStr">
        <is>
          <t>Delivered baseline (maintain)</t>
        </is>
      </c>
      <c r="D23" s="11" t="inlineStr">
        <is>
          <t>BT-01</t>
        </is>
      </c>
      <c r="E23" s="11" t="inlineStr">
        <is>
          <t>Backtesting</t>
        </is>
      </c>
      <c r="F23" s="11" t="inlineStr">
        <is>
          <t>Historical backtest</t>
        </is>
      </c>
      <c r="G23" s="12" t="inlineStr">
        <is>
          <t>COMPLETED</t>
        </is>
      </c>
      <c r="H23" s="13" t="n">
        <v>0.8</v>
      </c>
      <c r="I23" s="11" t="inlineStr"/>
      <c r="J23" s="11" t="inlineStr">
        <is>
          <t>Live (ATIP-W24-RC1)</t>
        </is>
      </c>
      <c r="K23" s="11" t="inlineStr"/>
      <c r="L23" s="11" t="inlineStr">
        <is>
          <t>3 bar engines</t>
        </is>
      </c>
      <c r="M23" s="11" t="inlineStr">
        <is>
          <t>Extended by Phase 2 items</t>
        </is>
      </c>
      <c r="N23" s="11" t="inlineStr">
        <is>
          <t>scores/backtest.py; strategy/backtest_*.py</t>
        </is>
      </c>
      <c r="O23" s="11" t="inlineStr"/>
      <c r="P23" s="11" t="inlineStr">
        <is>
          <t>2026-09-24</t>
        </is>
      </c>
      <c r="Q23" s="14" t="inlineStr"/>
      <c r="R23" s="14" t="inlineStr"/>
    </row>
    <row r="24">
      <c r="A24" s="11" t="n">
        <v>23</v>
      </c>
      <c r="B24" s="11" t="n">
        <v>0</v>
      </c>
      <c r="C24" s="11" t="inlineStr">
        <is>
          <t>Delivered baseline (maintain)</t>
        </is>
      </c>
      <c r="D24" s="11" t="inlineStr">
        <is>
          <t>BT-10</t>
        </is>
      </c>
      <c r="E24" s="11" t="inlineStr">
        <is>
          <t>Backtesting</t>
        </is>
      </c>
      <c r="F24" s="11" t="inlineStr">
        <is>
          <t>Win rate / profit factor / expectancy</t>
        </is>
      </c>
      <c r="G24" s="12" t="inlineStr">
        <is>
          <t>COMPLETED</t>
        </is>
      </c>
      <c r="H24" s="13" t="n">
        <v>0.9</v>
      </c>
      <c r="I24" s="11" t="inlineStr"/>
      <c r="J24" s="11" t="inlineStr">
        <is>
          <t>Live (ATIP-W24-RC1)</t>
        </is>
      </c>
      <c r="K24" s="11" t="inlineStr"/>
      <c r="L24" s="11" t="inlineStr">
        <is>
          <t>Implemented</t>
        </is>
      </c>
      <c r="M24" s="11" t="inlineStr">
        <is>
          <t>Maintain</t>
        </is>
      </c>
      <c r="N24" s="11" t="inlineStr">
        <is>
          <t>strategy/backtest_aggressive.py</t>
        </is>
      </c>
      <c r="O24" s="11" t="inlineStr"/>
      <c r="P24" s="11" t="inlineStr">
        <is>
          <t>2026-09-24</t>
        </is>
      </c>
      <c r="Q24" s="14" t="inlineStr"/>
      <c r="R24" s="14" t="inlineStr"/>
    </row>
    <row r="25">
      <c r="A25" s="11" t="n">
        <v>24</v>
      </c>
      <c r="B25" s="11" t="n">
        <v>0</v>
      </c>
      <c r="C25" s="11" t="inlineStr">
        <is>
          <t>Delivered baseline (maintain)</t>
        </is>
      </c>
      <c r="D25" s="11" t="inlineStr">
        <is>
          <t>RK-02</t>
        </is>
      </c>
      <c r="E25" s="11" t="inlineStr">
        <is>
          <t>Risk Management</t>
        </is>
      </c>
      <c r="F25" s="11" t="inlineStr">
        <is>
          <t>Max order value</t>
        </is>
      </c>
      <c r="G25" s="12" t="inlineStr">
        <is>
          <t>COMPLETED</t>
        </is>
      </c>
      <c r="H25" s="13" t="n">
        <v>0.9</v>
      </c>
      <c r="I25" s="11" t="inlineStr"/>
      <c r="J25" s="11" t="inlineStr">
        <is>
          <t>Live (ATIP-W24-RC1)</t>
        </is>
      </c>
      <c r="K25" s="11" t="inlineStr"/>
      <c r="L25" s="11" t="inlineStr">
        <is>
          <t>Enforced when configured</t>
        </is>
      </c>
      <c r="M25" s="11" t="inlineStr">
        <is>
          <t>Set values in config.json</t>
        </is>
      </c>
      <c r="N25" s="11" t="inlineStr">
        <is>
          <t>orders/risk.py</t>
        </is>
      </c>
      <c r="O25" s="11" t="inlineStr"/>
      <c r="P25" s="11" t="inlineStr">
        <is>
          <t>2026-09-24</t>
        </is>
      </c>
      <c r="Q25" s="14" t="inlineStr"/>
      <c r="R25" s="14" t="inlineStr"/>
    </row>
    <row r="26">
      <c r="A26" s="11" t="n">
        <v>25</v>
      </c>
      <c r="B26" s="11" t="n">
        <v>0</v>
      </c>
      <c r="C26" s="11" t="inlineStr">
        <is>
          <t>Delivered baseline (maintain)</t>
        </is>
      </c>
      <c r="D26" s="11" t="inlineStr">
        <is>
          <t>RK-03</t>
        </is>
      </c>
      <c r="E26" s="11" t="inlineStr">
        <is>
          <t>Risk Management</t>
        </is>
      </c>
      <c r="F26" s="11" t="inlineStr">
        <is>
          <t>Max orders per day</t>
        </is>
      </c>
      <c r="G26" s="12" t="inlineStr">
        <is>
          <t>COMPLETED</t>
        </is>
      </c>
      <c r="H26" s="13" t="n">
        <v>0.9</v>
      </c>
      <c r="I26" s="11" t="inlineStr"/>
      <c r="J26" s="11" t="inlineStr">
        <is>
          <t>Live (ATIP-W24-RC1)</t>
        </is>
      </c>
      <c r="K26" s="11" t="inlineStr"/>
      <c r="L26" s="11" t="inlineStr">
        <is>
          <t>Enforced when configured</t>
        </is>
      </c>
      <c r="M26" s="11" t="inlineStr">
        <is>
          <t>Set values in config.json</t>
        </is>
      </c>
      <c r="N26" s="11" t="inlineStr">
        <is>
          <t>orders/risk.py</t>
        </is>
      </c>
      <c r="O26" s="11" t="inlineStr"/>
      <c r="P26" s="11" t="inlineStr">
        <is>
          <t>2026-09-24</t>
        </is>
      </c>
      <c r="Q26" s="14" t="inlineStr"/>
      <c r="R26" s="14" t="inlineStr"/>
    </row>
    <row r="27">
      <c r="A27" s="11" t="n">
        <v>26</v>
      </c>
      <c r="B27" s="11" t="n">
        <v>0</v>
      </c>
      <c r="C27" s="11" t="inlineStr">
        <is>
          <t>Delivered baseline (maintain)</t>
        </is>
      </c>
      <c r="D27" s="11" t="inlineStr">
        <is>
          <t>RK-04</t>
        </is>
      </c>
      <c r="E27" s="11" t="inlineStr">
        <is>
          <t>Risk Management</t>
        </is>
      </c>
      <c r="F27" s="11" t="inlineStr">
        <is>
          <t>Max open positions</t>
        </is>
      </c>
      <c r="G27" s="12" t="inlineStr">
        <is>
          <t>COMPLETED</t>
        </is>
      </c>
      <c r="H27" s="13" t="n">
        <v>0.9</v>
      </c>
      <c r="I27" s="11" t="inlineStr"/>
      <c r="J27" s="11" t="inlineStr">
        <is>
          <t>Live (ATIP-W24-RC1)</t>
        </is>
      </c>
      <c r="K27" s="11" t="inlineStr"/>
      <c r="L27" s="11" t="inlineStr">
        <is>
          <t>Enforced when configured</t>
        </is>
      </c>
      <c r="M27" s="11" t="inlineStr">
        <is>
          <t>Set values in config.json</t>
        </is>
      </c>
      <c r="N27" s="11" t="inlineStr">
        <is>
          <t>orders/risk.py</t>
        </is>
      </c>
      <c r="O27" s="11" t="inlineStr"/>
      <c r="P27" s="11" t="inlineStr">
        <is>
          <t>2026-09-24</t>
        </is>
      </c>
      <c r="Q27" s="14" t="inlineStr"/>
      <c r="R27" s="14" t="inlineStr"/>
    </row>
    <row r="28">
      <c r="A28" s="11" t="n">
        <v>27</v>
      </c>
      <c r="B28" s="11" t="n">
        <v>0</v>
      </c>
      <c r="C28" s="11" t="inlineStr">
        <is>
          <t>Delivered baseline (maintain)</t>
        </is>
      </c>
      <c r="D28" s="11" t="inlineStr">
        <is>
          <t>RK-05</t>
        </is>
      </c>
      <c r="E28" s="11" t="inlineStr">
        <is>
          <t>Risk Management</t>
        </is>
      </c>
      <c r="F28" s="11" t="inlineStr">
        <is>
          <t>Symbol exposure limit</t>
        </is>
      </c>
      <c r="G28" s="12" t="inlineStr">
        <is>
          <t>COMPLETED</t>
        </is>
      </c>
      <c r="H28" s="13" t="n">
        <v>0.9</v>
      </c>
      <c r="I28" s="11" t="inlineStr"/>
      <c r="J28" s="11" t="inlineStr">
        <is>
          <t>Live (ATIP-W24-RC1)</t>
        </is>
      </c>
      <c r="K28" s="11" t="inlineStr"/>
      <c r="L28" s="11" t="inlineStr">
        <is>
          <t>Enforced when configured</t>
        </is>
      </c>
      <c r="M28" s="11" t="inlineStr">
        <is>
          <t>Set values in config.json</t>
        </is>
      </c>
      <c r="N28" s="11" t="inlineStr">
        <is>
          <t>orders/risk.py</t>
        </is>
      </c>
      <c r="O28" s="11" t="inlineStr"/>
      <c r="P28" s="11" t="inlineStr">
        <is>
          <t>2026-09-24</t>
        </is>
      </c>
      <c r="Q28" s="14" t="inlineStr"/>
      <c r="R28" s="14" t="inlineStr"/>
    </row>
    <row r="29">
      <c r="A29" s="11" t="n">
        <v>28</v>
      </c>
      <c r="B29" s="11" t="n">
        <v>0</v>
      </c>
      <c r="C29" s="11" t="inlineStr">
        <is>
          <t>Delivered baseline (maintain)</t>
        </is>
      </c>
      <c r="D29" s="11" t="inlineStr">
        <is>
          <t>RK-14</t>
        </is>
      </c>
      <c r="E29" s="11" t="inlineStr">
        <is>
          <t>Risk Management</t>
        </is>
      </c>
      <c r="F29" s="11" t="inlineStr">
        <is>
          <t>Crash-risk gating</t>
        </is>
      </c>
      <c r="G29" s="12" t="inlineStr">
        <is>
          <t>COMPLETED</t>
        </is>
      </c>
      <c r="H29" s="13" t="n">
        <v>0.75</v>
      </c>
      <c r="I29" s="11" t="inlineStr"/>
      <c r="J29" s="11" t="inlineStr">
        <is>
          <t>Live (ATIP-W24-RC1)</t>
        </is>
      </c>
      <c r="K29" s="11" t="inlineStr"/>
      <c r="L29" s="11" t="inlineStr">
        <is>
          <t>SELL_CRI_DANGER + strategy use</t>
        </is>
      </c>
      <c r="M29" s="11" t="inlineStr">
        <is>
          <t>Maintain</t>
        </is>
      </c>
      <c r="N29" s="11" t="inlineStr">
        <is>
          <t>scores/engine.py</t>
        </is>
      </c>
      <c r="O29" s="11" t="inlineStr"/>
      <c r="P29" s="11" t="inlineStr">
        <is>
          <t>2026-09-24</t>
        </is>
      </c>
      <c r="Q29" s="14" t="inlineStr"/>
      <c r="R29" s="14" t="inlineStr"/>
    </row>
    <row r="30">
      <c r="A30" s="11" t="n">
        <v>29</v>
      </c>
      <c r="B30" s="11" t="n">
        <v>0</v>
      </c>
      <c r="C30" s="11" t="inlineStr">
        <is>
          <t>Delivered baseline (maintain)</t>
        </is>
      </c>
      <c r="D30" s="11" t="inlineStr">
        <is>
          <t>EX-03</t>
        </is>
      </c>
      <c r="E30" s="11" t="inlineStr">
        <is>
          <t>Execution</t>
        </is>
      </c>
      <c r="F30" s="11" t="inlineStr">
        <is>
          <t>Position management</t>
        </is>
      </c>
      <c r="G30" s="12" t="inlineStr">
        <is>
          <t>COMPLETED</t>
        </is>
      </c>
      <c r="H30" s="13" t="n">
        <v>0.75</v>
      </c>
      <c r="I30" s="11" t="inlineStr"/>
      <c r="J30" s="11" t="inlineStr">
        <is>
          <t>Live (ATIP-W24-RC1)</t>
        </is>
      </c>
      <c r="K30" s="11" t="inlineStr"/>
      <c r="L30" s="11" t="inlineStr">
        <is>
          <t>reserve -&gt; place -&gt; apply</t>
        </is>
      </c>
      <c r="M30" s="11" t="inlineStr">
        <is>
          <t>Maintain</t>
        </is>
      </c>
      <c r="N30" s="11" t="inlineStr">
        <is>
          <t>strategy/positions.py</t>
        </is>
      </c>
      <c r="O30" s="11" t="inlineStr"/>
      <c r="P30" s="11" t="inlineStr">
        <is>
          <t>2026-09-24</t>
        </is>
      </c>
      <c r="Q30" s="14" t="inlineStr"/>
      <c r="R30" s="14" t="inlineStr"/>
    </row>
    <row r="31">
      <c r="A31" s="11" t="n">
        <v>30</v>
      </c>
      <c r="B31" s="11" t="n">
        <v>0</v>
      </c>
      <c r="C31" s="11" t="inlineStr">
        <is>
          <t>Delivered baseline (maintain)</t>
        </is>
      </c>
      <c r="D31" s="11" t="inlineStr">
        <is>
          <t>EX-04</t>
        </is>
      </c>
      <c r="E31" s="11" t="inlineStr">
        <is>
          <t>Execution</t>
        </is>
      </c>
      <c r="F31" s="11" t="inlineStr">
        <is>
          <t>Entry/exit</t>
        </is>
      </c>
      <c r="G31" s="12" t="inlineStr">
        <is>
          <t>COMPLETED</t>
        </is>
      </c>
      <c r="H31" s="13" t="n">
        <v>0.7</v>
      </c>
      <c r="I31" s="11" t="inlineStr"/>
      <c r="J31" s="11" t="inlineStr">
        <is>
          <t>Live (ATIP-W24-RC1)</t>
        </is>
      </c>
      <c r="K31" s="11" t="inlineStr"/>
      <c r="L31" s="11" t="inlineStr">
        <is>
          <t>strategy/live.py</t>
        </is>
      </c>
      <c r="M31" s="11" t="inlineStr">
        <is>
          <t>Maintain</t>
        </is>
      </c>
      <c r="N31" s="11" t="inlineStr">
        <is>
          <t>strategy/live.py</t>
        </is>
      </c>
      <c r="O31" s="11" t="inlineStr"/>
      <c r="P31" s="11" t="inlineStr">
        <is>
          <t>2026-09-24</t>
        </is>
      </c>
      <c r="Q31" s="14" t="inlineStr"/>
      <c r="R31" s="14" t="inlineStr"/>
    </row>
    <row r="32">
      <c r="A32" s="11" t="n">
        <v>31</v>
      </c>
      <c r="B32" s="11" t="n">
        <v>0</v>
      </c>
      <c r="C32" s="11" t="inlineStr">
        <is>
          <t>Delivered baseline (maintain)</t>
        </is>
      </c>
      <c r="D32" s="11" t="inlineStr">
        <is>
          <t>EX-05</t>
        </is>
      </c>
      <c r="E32" s="11" t="inlineStr">
        <is>
          <t>Execution</t>
        </is>
      </c>
      <c r="F32" s="11" t="inlineStr">
        <is>
          <t>Stop loss</t>
        </is>
      </c>
      <c r="G32" s="12" t="inlineStr">
        <is>
          <t>COMPLETED</t>
        </is>
      </c>
      <c r="H32" s="13" t="n">
        <v>0.75</v>
      </c>
      <c r="I32" s="11" t="inlineStr"/>
      <c r="J32" s="11" t="inlineStr">
        <is>
          <t>Live (ATIP-W24-RC1)</t>
        </is>
      </c>
      <c r="K32" s="11" t="inlineStr"/>
      <c r="L32" s="11" t="inlineStr">
        <is>
          <t>Implemented</t>
        </is>
      </c>
      <c r="M32" s="11" t="inlineStr">
        <is>
          <t>Maintain</t>
        </is>
      </c>
      <c r="N32" s="11" t="inlineStr">
        <is>
          <t>strategy/aggressive.py</t>
        </is>
      </c>
      <c r="O32" s="11" t="inlineStr"/>
      <c r="P32" s="11" t="inlineStr">
        <is>
          <t>2026-09-24</t>
        </is>
      </c>
      <c r="Q32" s="14" t="inlineStr"/>
      <c r="R32" s="14" t="inlineStr"/>
    </row>
    <row r="33">
      <c r="A33" s="11" t="n">
        <v>32</v>
      </c>
      <c r="B33" s="11" t="n">
        <v>0</v>
      </c>
      <c r="C33" s="11" t="inlineStr">
        <is>
          <t>Delivered baseline (maintain)</t>
        </is>
      </c>
      <c r="D33" s="11" t="inlineStr">
        <is>
          <t>EX-06</t>
        </is>
      </c>
      <c r="E33" s="11" t="inlineStr">
        <is>
          <t>Execution</t>
        </is>
      </c>
      <c r="F33" s="11" t="inlineStr">
        <is>
          <t>Trailing stop</t>
        </is>
      </c>
      <c r="G33" s="12" t="inlineStr">
        <is>
          <t>COMPLETED</t>
        </is>
      </c>
      <c r="H33" s="13" t="n">
        <v>0.8</v>
      </c>
      <c r="I33" s="11" t="inlineStr"/>
      <c r="J33" s="11" t="inlineStr">
        <is>
          <t>Live (ATIP-W24-RC1)</t>
        </is>
      </c>
      <c r="K33" s="11" t="inlineStr"/>
      <c r="L33" s="11" t="inlineStr">
        <is>
          <t>Implemented (4.0x ATR)</t>
        </is>
      </c>
      <c r="M33" s="11" t="inlineStr">
        <is>
          <t>Maintain</t>
        </is>
      </c>
      <c r="N33" s="11" t="inlineStr">
        <is>
          <t>strategy/aggressive.py</t>
        </is>
      </c>
      <c r="O33" s="11" t="inlineStr"/>
      <c r="P33" s="11" t="inlineStr">
        <is>
          <t>2026-09-24</t>
        </is>
      </c>
      <c r="Q33" s="14" t="inlineStr"/>
      <c r="R33" s="14" t="inlineStr"/>
    </row>
    <row r="34">
      <c r="A34" s="11" t="n">
        <v>33</v>
      </c>
      <c r="B34" s="11" t="n">
        <v>0</v>
      </c>
      <c r="C34" s="11" t="inlineStr">
        <is>
          <t>Delivered baseline (maintain)</t>
        </is>
      </c>
      <c r="D34" s="11" t="inlineStr">
        <is>
          <t>EX-07</t>
        </is>
      </c>
      <c r="E34" s="11" t="inlineStr">
        <is>
          <t>Execution</t>
        </is>
      </c>
      <c r="F34" s="11" t="inlineStr">
        <is>
          <t>Profit booking / partial exit</t>
        </is>
      </c>
      <c r="G34" s="12" t="inlineStr">
        <is>
          <t>COMPLETED</t>
        </is>
      </c>
      <c r="H34" s="13" t="n">
        <v>0.7</v>
      </c>
      <c r="I34" s="11" t="inlineStr"/>
      <c r="J34" s="11" t="inlineStr">
        <is>
          <t>Live (ATIP-W24-RC1)</t>
        </is>
      </c>
      <c r="K34" s="11" t="inlineStr"/>
      <c r="L34" s="11" t="inlineStr">
        <is>
          <t>Implemented in aggressive strategy</t>
        </is>
      </c>
      <c r="M34" s="11" t="inlineStr">
        <is>
          <t>Maintain</t>
        </is>
      </c>
      <c r="N34" s="11" t="inlineStr">
        <is>
          <t>strategy/aggressive.py</t>
        </is>
      </c>
      <c r="O34" s="11" t="inlineStr"/>
      <c r="P34" s="11" t="inlineStr">
        <is>
          <t>2026-09-24</t>
        </is>
      </c>
      <c r="Q34" s="14" t="inlineStr"/>
      <c r="R34" s="14" t="inlineStr"/>
    </row>
    <row r="35">
      <c r="A35" s="11" t="n">
        <v>34</v>
      </c>
      <c r="B35" s="11" t="n">
        <v>0</v>
      </c>
      <c r="C35" s="11" t="inlineStr">
        <is>
          <t>Delivered baseline (maintain)</t>
        </is>
      </c>
      <c r="D35" s="11" t="inlineStr">
        <is>
          <t>EX-13</t>
        </is>
      </c>
      <c r="E35" s="11" t="inlineStr">
        <is>
          <t>Execution</t>
        </is>
      </c>
      <c r="F35" s="11" t="inlineStr">
        <is>
          <t>Paper trading</t>
        </is>
      </c>
      <c r="G35" s="12" t="inlineStr">
        <is>
          <t>COMPLETED</t>
        </is>
      </c>
      <c r="H35" s="13" t="n">
        <v>0.85</v>
      </c>
      <c r="I35" s="11" t="inlineStr"/>
      <c r="J35" s="11" t="inlineStr">
        <is>
          <t>Live (ATIP-W24-RC1)</t>
        </is>
      </c>
      <c r="K35" s="11" t="inlineStr"/>
      <c r="L35" s="11" t="inlineStr">
        <is>
          <t>Paper broker with slippage</t>
        </is>
      </c>
      <c r="M35" s="11" t="inlineStr">
        <is>
          <t>Maintain</t>
        </is>
      </c>
      <c r="N35" s="11" t="inlineStr">
        <is>
          <t>orders/paper.py</t>
        </is>
      </c>
      <c r="O35" s="11" t="inlineStr"/>
      <c r="P35" s="11" t="inlineStr">
        <is>
          <t>2026-09-24</t>
        </is>
      </c>
      <c r="Q35" s="14" t="inlineStr"/>
      <c r="R35" s="14" t="inlineStr"/>
    </row>
    <row r="36">
      <c r="A36" s="11" t="n">
        <v>35</v>
      </c>
      <c r="B36" s="11" t="n">
        <v>0</v>
      </c>
      <c r="C36" s="11" t="inlineStr">
        <is>
          <t>Delivered baseline (maintain)</t>
        </is>
      </c>
      <c r="D36" s="11" t="inlineStr">
        <is>
          <t>EX-14</t>
        </is>
      </c>
      <c r="E36" s="11" t="inlineStr">
        <is>
          <t>Execution</t>
        </is>
      </c>
      <c r="F36" s="11" t="inlineStr">
        <is>
          <t>Live gating</t>
        </is>
      </c>
      <c r="G36" s="12" t="inlineStr">
        <is>
          <t>COMPLETED</t>
        </is>
      </c>
      <c r="H36" s="13" t="n">
        <v>0.85</v>
      </c>
      <c r="I36" s="11" t="inlineStr"/>
      <c r="J36" s="11" t="inlineStr">
        <is>
          <t>Live (ATIP-W24-RC1)</t>
        </is>
      </c>
      <c r="K36" s="11" t="inlineStr"/>
      <c r="L36" s="11" t="inlineStr">
        <is>
          <t>Implemented</t>
        </is>
      </c>
      <c r="M36" s="11" t="inlineStr">
        <is>
          <t>Maintain</t>
        </is>
      </c>
      <c r="N36" s="11" t="inlineStr">
        <is>
          <t>orders/environment.py</t>
        </is>
      </c>
      <c r="O36" s="11" t="inlineStr"/>
      <c r="P36" s="11" t="inlineStr">
        <is>
          <t>2026-09-24</t>
        </is>
      </c>
      <c r="Q36" s="14" t="inlineStr"/>
      <c r="R36" s="14" t="inlineStr"/>
    </row>
    <row r="37">
      <c r="A37" s="11" t="n">
        <v>36</v>
      </c>
      <c r="B37" s="11" t="n">
        <v>0</v>
      </c>
      <c r="C37" s="11" t="inlineStr">
        <is>
          <t>Delivered baseline (maintain)</t>
        </is>
      </c>
      <c r="D37" s="11" t="inlineStr">
        <is>
          <t>BR-01</t>
        </is>
      </c>
      <c r="E37" s="11" t="inlineStr">
        <is>
          <t>Broker Integration</t>
        </is>
      </c>
      <c r="F37" s="11" t="inlineStr">
        <is>
          <t>Dhan</t>
        </is>
      </c>
      <c r="G37" s="12" t="inlineStr">
        <is>
          <t>COMPLETED</t>
        </is>
      </c>
      <c r="H37" s="13" t="n">
        <v>0.8</v>
      </c>
      <c r="I37" s="11" t="inlineStr"/>
      <c r="J37" s="11" t="inlineStr">
        <is>
          <t>Live (ATIP-W24-RC1)</t>
        </is>
      </c>
      <c r="K37" s="11" t="inlineStr"/>
      <c r="L37" s="11" t="inlineStr">
        <is>
          <t>dhanhq integration</t>
        </is>
      </c>
      <c r="M37" s="11" t="inlineStr">
        <is>
          <t>Maintain</t>
        </is>
      </c>
      <c r="N37" s="11" t="inlineStr">
        <is>
          <t>data/dhan.py; orders/broker.py</t>
        </is>
      </c>
      <c r="O37" s="11" t="inlineStr"/>
      <c r="P37" s="11" t="inlineStr">
        <is>
          <t>2026-09-24</t>
        </is>
      </c>
      <c r="Q37" s="14" t="inlineStr"/>
      <c r="R37" s="14" t="inlineStr"/>
    </row>
    <row r="38">
      <c r="A38" s="11" t="n">
        <v>37</v>
      </c>
      <c r="B38" s="11" t="n">
        <v>0</v>
      </c>
      <c r="C38" s="11" t="inlineStr">
        <is>
          <t>Delivered baseline (maintain)</t>
        </is>
      </c>
      <c r="D38" s="11" t="inlineStr">
        <is>
          <t>BR-03</t>
        </is>
      </c>
      <c r="E38" s="11" t="inlineStr">
        <is>
          <t>Broker Integration</t>
        </is>
      </c>
      <c r="F38" s="11" t="inlineStr">
        <is>
          <t>Broker abstraction</t>
        </is>
      </c>
      <c r="G38" s="12" t="inlineStr">
        <is>
          <t>COMPLETED</t>
        </is>
      </c>
      <c r="H38" s="13" t="n">
        <v>0.75</v>
      </c>
      <c r="I38" s="11" t="inlineStr"/>
      <c r="J38" s="11" t="inlineStr">
        <is>
          <t>Live (ATIP-W24-RC1)</t>
        </is>
      </c>
      <c r="K38" s="11" t="inlineStr"/>
      <c r="L38" s="11" t="inlineStr">
        <is>
          <t>PAPER/SANDBOX/LIVE routing</t>
        </is>
      </c>
      <c r="M38" s="11" t="inlineStr">
        <is>
          <t>Becomes multi-broker interface in ENT-15</t>
        </is>
      </c>
      <c r="N38" s="11" t="inlineStr">
        <is>
          <t>orders/environment.py</t>
        </is>
      </c>
      <c r="O38" s="11" t="inlineStr"/>
      <c r="P38" s="11" t="inlineStr">
        <is>
          <t>2026-09-24</t>
        </is>
      </c>
      <c r="Q38" s="14" t="inlineStr"/>
      <c r="R38" s="14" t="inlineStr"/>
    </row>
    <row r="39">
      <c r="A39" s="11" t="n">
        <v>38</v>
      </c>
      <c r="B39" s="11" t="n">
        <v>0</v>
      </c>
      <c r="C39" s="11" t="inlineStr">
        <is>
          <t>Delivered baseline (maintain)</t>
        </is>
      </c>
      <c r="D39" s="11" t="inlineStr">
        <is>
          <t>DB-01</t>
        </is>
      </c>
      <c r="E39" s="11" t="inlineStr">
        <is>
          <t>Dashboard</t>
        </is>
      </c>
      <c r="F39" s="11" t="inlineStr">
        <is>
          <t>Market Health panel</t>
        </is>
      </c>
      <c r="G39" s="12" t="inlineStr">
        <is>
          <t>COMPLETED</t>
        </is>
      </c>
      <c r="H39" s="13" t="n">
        <v>0.8</v>
      </c>
      <c r="I39" s="11" t="inlineStr"/>
      <c r="J39" s="11" t="inlineStr">
        <is>
          <t>Live (ATIP-W24-RC1)</t>
        </is>
      </c>
      <c r="K39" s="11" t="inlineStr"/>
      <c r="L39" s="11" t="inlineStr">
        <is>
          <t>Rendered</t>
        </is>
      </c>
      <c r="M39" s="11" t="inlineStr">
        <is>
          <t>Maintain</t>
        </is>
      </c>
      <c r="N39" s="11" t="inlineStr">
        <is>
          <t>dashboard/server.py</t>
        </is>
      </c>
      <c r="O39" s="11" t="inlineStr"/>
      <c r="P39" s="11" t="inlineStr">
        <is>
          <t>2026-09-24</t>
        </is>
      </c>
      <c r="Q39" s="14" t="inlineStr"/>
      <c r="R39" s="14" t="inlineStr"/>
    </row>
    <row r="40">
      <c r="A40" s="11" t="n">
        <v>39</v>
      </c>
      <c r="B40" s="11" t="n">
        <v>0</v>
      </c>
      <c r="C40" s="11" t="inlineStr">
        <is>
          <t>Delivered baseline (maintain)</t>
        </is>
      </c>
      <c r="D40" s="11" t="inlineStr">
        <is>
          <t>DB-02</t>
        </is>
      </c>
      <c r="E40" s="11" t="inlineStr">
        <is>
          <t>Dashboard</t>
        </is>
      </c>
      <c r="F40" s="11" t="inlineStr">
        <is>
          <t>Global Markets panel</t>
        </is>
      </c>
      <c r="G40" s="12" t="inlineStr">
        <is>
          <t>COMPLETED</t>
        </is>
      </c>
      <c r="H40" s="13" t="n">
        <v>0.75</v>
      </c>
      <c r="I40" s="11" t="inlineStr"/>
      <c r="J40" s="11" t="inlineStr">
        <is>
          <t>Live (ATIP-W24-RC1)</t>
        </is>
      </c>
      <c r="K40" s="11" t="inlineStr"/>
      <c r="L40" s="11" t="inlineStr">
        <is>
          <t>Rendered; snapshot bug fixed</t>
        </is>
      </c>
      <c r="M40" s="11" t="inlineStr">
        <is>
          <t>Maintain</t>
        </is>
      </c>
      <c r="N40" s="11" t="inlineStr">
        <is>
          <t>dashboard/server.py</t>
        </is>
      </c>
      <c r="O40" s="11" t="inlineStr"/>
      <c r="P40" s="11" t="inlineStr">
        <is>
          <t>2026-09-24</t>
        </is>
      </c>
      <c r="Q40" s="14" t="inlineStr"/>
      <c r="R40" s="14" t="inlineStr"/>
    </row>
    <row r="41">
      <c r="A41" s="11" t="n">
        <v>40</v>
      </c>
      <c r="B41" s="11" t="n">
        <v>0</v>
      </c>
      <c r="C41" s="11" t="inlineStr">
        <is>
          <t>Delivered baseline (maintain)</t>
        </is>
      </c>
      <c r="D41" s="11" t="inlineStr">
        <is>
          <t>DB-03</t>
        </is>
      </c>
      <c r="E41" s="11" t="inlineStr">
        <is>
          <t>Dashboard</t>
        </is>
      </c>
      <c r="F41" s="11" t="inlineStr">
        <is>
          <t>FII/DII panel</t>
        </is>
      </c>
      <c r="G41" s="12" t="inlineStr">
        <is>
          <t>COMPLETED</t>
        </is>
      </c>
      <c r="H41" s="13" t="n">
        <v>0.75</v>
      </c>
      <c r="I41" s="11" t="inlineStr"/>
      <c r="J41" s="11" t="inlineStr">
        <is>
          <t>Live (ATIP-W24-RC1)</t>
        </is>
      </c>
      <c r="K41" s="11" t="inlineStr"/>
      <c r="L41" s="11" t="inlineStr">
        <is>
          <t>Rendered</t>
        </is>
      </c>
      <c r="M41" s="11" t="inlineStr">
        <is>
          <t>Maintain</t>
        </is>
      </c>
      <c r="N41" s="11" t="inlineStr">
        <is>
          <t>dashboard/server.py</t>
        </is>
      </c>
      <c r="O41" s="11" t="inlineStr"/>
      <c r="P41" s="11" t="inlineStr">
        <is>
          <t>2026-09-24</t>
        </is>
      </c>
      <c r="Q41" s="14" t="inlineStr"/>
      <c r="R41" s="14" t="inlineStr"/>
    </row>
    <row r="42">
      <c r="A42" s="11" t="n">
        <v>41</v>
      </c>
      <c r="B42" s="11" t="n">
        <v>0</v>
      </c>
      <c r="C42" s="11" t="inlineStr">
        <is>
          <t>Delivered baseline (maintain)</t>
        </is>
      </c>
      <c r="D42" s="11" t="inlineStr">
        <is>
          <t>DB-05</t>
        </is>
      </c>
      <c r="E42" s="11" t="inlineStr">
        <is>
          <t>Dashboard</t>
        </is>
      </c>
      <c r="F42" s="11" t="inlineStr">
        <is>
          <t>Sector Rotation</t>
        </is>
      </c>
      <c r="G42" s="12" t="inlineStr">
        <is>
          <t>COMPLETED</t>
        </is>
      </c>
      <c r="H42" s="13" t="n">
        <v>0.7</v>
      </c>
      <c r="I42" s="11" t="inlineStr"/>
      <c r="J42" s="11" t="inlineStr">
        <is>
          <t>Live (ATIP-W24-RC1)</t>
        </is>
      </c>
      <c r="K42" s="11" t="inlineStr"/>
      <c r="L42" s="11" t="inlineStr">
        <is>
          <t>Heatmap rendered</t>
        </is>
      </c>
      <c r="M42" s="11" t="inlineStr">
        <is>
          <t>Maintain</t>
        </is>
      </c>
      <c r="N42" s="11" t="inlineStr">
        <is>
          <t>dashboard/server.py</t>
        </is>
      </c>
      <c r="O42" s="11" t="inlineStr"/>
      <c r="P42" s="11" t="inlineStr">
        <is>
          <t>2026-09-24</t>
        </is>
      </c>
      <c r="Q42" s="14" t="inlineStr"/>
      <c r="R42" s="14" t="inlineStr"/>
    </row>
    <row r="43">
      <c r="A43" s="11" t="n">
        <v>42</v>
      </c>
      <c r="B43" s="11" t="n">
        <v>0</v>
      </c>
      <c r="C43" s="11" t="inlineStr">
        <is>
          <t>Delivered baseline (maintain)</t>
        </is>
      </c>
      <c r="D43" s="11" t="inlineStr">
        <is>
          <t>DB-07</t>
        </is>
      </c>
      <c r="E43" s="11" t="inlineStr">
        <is>
          <t>Dashboard</t>
        </is>
      </c>
      <c r="F43" s="11" t="inlineStr">
        <is>
          <t>Top 25 VPI</t>
        </is>
      </c>
      <c r="G43" s="12" t="inlineStr">
        <is>
          <t>COMPLETED</t>
        </is>
      </c>
      <c r="H43" s="13" t="n">
        <v>0.85</v>
      </c>
      <c r="I43" s="11" t="inlineStr"/>
      <c r="J43" s="11" t="inlineStr">
        <is>
          <t>Live (ATIP-W24-RC1)</t>
        </is>
      </c>
      <c r="K43" s="11" t="inlineStr"/>
      <c r="L43" s="11" t="inlineStr">
        <is>
          <t>Rendered</t>
        </is>
      </c>
      <c r="M43" s="11" t="inlineStr">
        <is>
          <t>Maintain</t>
        </is>
      </c>
      <c r="N43" s="11" t="inlineStr">
        <is>
          <t>dashboard/server.py</t>
        </is>
      </c>
      <c r="O43" s="11" t="inlineStr"/>
      <c r="P43" s="11" t="inlineStr">
        <is>
          <t>2026-09-24</t>
        </is>
      </c>
      <c r="Q43" s="14" t="inlineStr"/>
      <c r="R43" s="14" t="inlineStr"/>
    </row>
    <row r="44">
      <c r="A44" s="11" t="n">
        <v>43</v>
      </c>
      <c r="B44" s="11" t="n">
        <v>0</v>
      </c>
      <c r="C44" s="11" t="inlineStr">
        <is>
          <t>Delivered baseline (maintain)</t>
        </is>
      </c>
      <c r="D44" s="11" t="inlineStr">
        <is>
          <t>DB-08</t>
        </is>
      </c>
      <c r="E44" s="11" t="inlineStr">
        <is>
          <t>Dashboard</t>
        </is>
      </c>
      <c r="F44" s="11" t="inlineStr">
        <is>
          <t>Buy Zone (ZPI)</t>
        </is>
      </c>
      <c r="G44" s="12" t="inlineStr">
        <is>
          <t>COMPLETED</t>
        </is>
      </c>
      <c r="H44" s="13" t="n">
        <v>0.85</v>
      </c>
      <c r="I44" s="11" t="inlineStr"/>
      <c r="J44" s="11" t="inlineStr">
        <is>
          <t>Live (ATIP-W24-RC1)</t>
        </is>
      </c>
      <c r="K44" s="11" t="inlineStr"/>
      <c r="L44" s="11" t="inlineStr">
        <is>
          <t>Rendered</t>
        </is>
      </c>
      <c r="M44" s="11" t="inlineStr">
        <is>
          <t>Maintain</t>
        </is>
      </c>
      <c r="N44" s="11" t="inlineStr">
        <is>
          <t>dashboard/server.py</t>
        </is>
      </c>
      <c r="O44" s="11" t="inlineStr"/>
      <c r="P44" s="11" t="inlineStr">
        <is>
          <t>2026-09-24</t>
        </is>
      </c>
      <c r="Q44" s="14" t="inlineStr"/>
      <c r="R44" s="14" t="inlineStr"/>
    </row>
    <row r="45">
      <c r="A45" s="11" t="n">
        <v>44</v>
      </c>
      <c r="B45" s="11" t="n">
        <v>0</v>
      </c>
      <c r="C45" s="11" t="inlineStr">
        <is>
          <t>Delivered baseline (maintain)</t>
        </is>
      </c>
      <c r="D45" s="11" t="inlineStr">
        <is>
          <t>DB-09</t>
        </is>
      </c>
      <c r="E45" s="11" t="inlineStr">
        <is>
          <t>Dashboard</t>
        </is>
      </c>
      <c r="F45" s="11" t="inlineStr">
        <is>
          <t>Recovery (RRI)</t>
        </is>
      </c>
      <c r="G45" s="12" t="inlineStr">
        <is>
          <t>COMPLETED</t>
        </is>
      </c>
      <c r="H45" s="13" t="n">
        <v>0.8</v>
      </c>
      <c r="I45" s="11" t="inlineStr"/>
      <c r="J45" s="11" t="inlineStr">
        <is>
          <t>Live (ATIP-W24-RC1)</t>
        </is>
      </c>
      <c r="K45" s="11" t="inlineStr"/>
      <c r="L45" s="11" t="inlineStr">
        <is>
          <t>Rendered</t>
        </is>
      </c>
      <c r="M45" s="11" t="inlineStr">
        <is>
          <t>Maintain</t>
        </is>
      </c>
      <c r="N45" s="11" t="inlineStr">
        <is>
          <t>dashboard/server.py</t>
        </is>
      </c>
      <c r="O45" s="11" t="inlineStr"/>
      <c r="P45" s="11" t="inlineStr">
        <is>
          <t>2026-09-24</t>
        </is>
      </c>
      <c r="Q45" s="14" t="inlineStr"/>
      <c r="R45" s="14" t="inlineStr"/>
    </row>
    <row r="46">
      <c r="A46" s="11" t="n">
        <v>45</v>
      </c>
      <c r="B46" s="11" t="n">
        <v>0</v>
      </c>
      <c r="C46" s="11" t="inlineStr">
        <is>
          <t>Delivered baseline (maintain)</t>
        </is>
      </c>
      <c r="D46" s="11" t="inlineStr">
        <is>
          <t>DB-10</t>
        </is>
      </c>
      <c r="E46" s="11" t="inlineStr">
        <is>
          <t>Dashboard</t>
        </is>
      </c>
      <c r="F46" s="11" t="inlineStr">
        <is>
          <t>Momentum Reversal (MRI)</t>
        </is>
      </c>
      <c r="G46" s="12" t="inlineStr">
        <is>
          <t>COMPLETED</t>
        </is>
      </c>
      <c r="H46" s="13" t="n">
        <v>0.8</v>
      </c>
      <c r="I46" s="11" t="inlineStr"/>
      <c r="J46" s="11" t="inlineStr">
        <is>
          <t>Live (ATIP-W24-RC1)</t>
        </is>
      </c>
      <c r="K46" s="11" t="inlineStr"/>
      <c r="L46" s="11" t="inlineStr">
        <is>
          <t>Rendered</t>
        </is>
      </c>
      <c r="M46" s="11" t="inlineStr">
        <is>
          <t>Maintain</t>
        </is>
      </c>
      <c r="N46" s="11" t="inlineStr">
        <is>
          <t>dashboard/server.py</t>
        </is>
      </c>
      <c r="O46" s="11" t="inlineStr"/>
      <c r="P46" s="11" t="inlineStr">
        <is>
          <t>2026-09-24</t>
        </is>
      </c>
      <c r="Q46" s="14" t="inlineStr"/>
      <c r="R46" s="14" t="inlineStr"/>
    </row>
    <row r="47">
      <c r="A47" s="11" t="n">
        <v>46</v>
      </c>
      <c r="B47" s="11" t="n">
        <v>0</v>
      </c>
      <c r="C47" s="11" t="inlineStr">
        <is>
          <t>Delivered baseline (maintain)</t>
        </is>
      </c>
      <c r="D47" s="11" t="inlineStr">
        <is>
          <t>DB-12</t>
        </is>
      </c>
      <c r="E47" s="11" t="inlineStr">
        <is>
          <t>Dashboard</t>
        </is>
      </c>
      <c r="F47" s="11" t="inlineStr">
        <is>
          <t>Portfolio Health panel</t>
        </is>
      </c>
      <c r="G47" s="12" t="inlineStr">
        <is>
          <t>COMPLETED</t>
        </is>
      </c>
      <c r="H47" s="13" t="n">
        <v>0.8</v>
      </c>
      <c r="I47" s="11" t="inlineStr"/>
      <c r="J47" s="11" t="inlineStr">
        <is>
          <t>Live (ATIP-W24-RC1)</t>
        </is>
      </c>
      <c r="K47" s="11" t="inlineStr"/>
      <c r="L47" s="11" t="inlineStr">
        <is>
          <t>Rendered</t>
        </is>
      </c>
      <c r="M47" s="11" t="inlineStr">
        <is>
          <t>Maintain</t>
        </is>
      </c>
      <c r="N47" s="11" t="inlineStr">
        <is>
          <t>dashboard/server.py</t>
        </is>
      </c>
      <c r="O47" s="11" t="inlineStr"/>
      <c r="P47" s="11" t="inlineStr">
        <is>
          <t>2026-09-24</t>
        </is>
      </c>
      <c r="Q47" s="14" t="inlineStr"/>
      <c r="R47" s="14" t="inlineStr"/>
    </row>
    <row r="48">
      <c r="A48" s="11" t="n">
        <v>47</v>
      </c>
      <c r="B48" s="11" t="n">
        <v>0</v>
      </c>
      <c r="C48" s="11" t="inlineStr">
        <is>
          <t>Delivered baseline (maintain)</t>
        </is>
      </c>
      <c r="D48" s="11" t="inlineStr">
        <is>
          <t>DB-13</t>
        </is>
      </c>
      <c r="E48" s="11" t="inlineStr">
        <is>
          <t>Dashboard</t>
        </is>
      </c>
      <c r="F48" s="11" t="inlineStr">
        <is>
          <t>Trade of the Day</t>
        </is>
      </c>
      <c r="G48" s="12" t="inlineStr">
        <is>
          <t>COMPLETED</t>
        </is>
      </c>
      <c r="H48" s="13" t="n">
        <v>0.85</v>
      </c>
      <c r="I48" s="11" t="inlineStr"/>
      <c r="J48" s="11" t="inlineStr">
        <is>
          <t>Live (ATIP-W24-RC1)</t>
        </is>
      </c>
      <c r="K48" s="11" t="inlineStr"/>
      <c r="L48" s="11" t="inlineStr">
        <is>
          <t>Rendered</t>
        </is>
      </c>
      <c r="M48" s="11" t="inlineStr">
        <is>
          <t>Maintain</t>
        </is>
      </c>
      <c r="N48" s="11" t="inlineStr">
        <is>
          <t>dashboard/server.py</t>
        </is>
      </c>
      <c r="O48" s="11" t="inlineStr"/>
      <c r="P48" s="11" t="inlineStr">
        <is>
          <t>2026-09-24</t>
        </is>
      </c>
      <c r="Q48" s="14" t="inlineStr"/>
      <c r="R48" s="14" t="inlineStr"/>
    </row>
    <row r="49">
      <c r="A49" s="11" t="n">
        <v>48</v>
      </c>
      <c r="B49" s="11" t="n">
        <v>0</v>
      </c>
      <c r="C49" s="11" t="inlineStr">
        <is>
          <t>Delivered baseline (maintain)</t>
        </is>
      </c>
      <c r="D49" s="11" t="inlineStr">
        <is>
          <t>DB-15</t>
        </is>
      </c>
      <c r="E49" s="11" t="inlineStr">
        <is>
          <t>Dashboard</t>
        </is>
      </c>
      <c r="F49" s="11" t="inlineStr">
        <is>
          <t>Orders/signals panel</t>
        </is>
      </c>
      <c r="G49" s="12" t="inlineStr">
        <is>
          <t>COMPLETED</t>
        </is>
      </c>
      <c r="H49" s="13" t="n">
        <v>0.7</v>
      </c>
      <c r="I49" s="11" t="inlineStr"/>
      <c r="J49" s="11" t="inlineStr">
        <is>
          <t>Live (ATIP-W24-RC1)</t>
        </is>
      </c>
      <c r="K49" s="11" t="inlineStr"/>
      <c r="L49" s="11" t="inlineStr">
        <is>
          <t>Rendered with PAPER status</t>
        </is>
      </c>
      <c r="M49" s="11" t="inlineStr">
        <is>
          <t>Maintain</t>
        </is>
      </c>
      <c r="N49" s="11" t="inlineStr">
        <is>
          <t>dashboard/server.py</t>
        </is>
      </c>
      <c r="O49" s="11" t="inlineStr"/>
      <c r="P49" s="11" t="inlineStr">
        <is>
          <t>2026-09-24</t>
        </is>
      </c>
      <c r="Q49" s="14" t="inlineStr"/>
      <c r="R49" s="14" t="inlineStr"/>
    </row>
    <row r="50">
      <c r="A50" s="11" t="n">
        <v>49</v>
      </c>
      <c r="B50" s="11" t="n">
        <v>0</v>
      </c>
      <c r="C50" s="11" t="inlineStr">
        <is>
          <t>Delivered baseline (maintain)</t>
        </is>
      </c>
      <c r="D50" s="11" t="inlineStr">
        <is>
          <t>DB-19</t>
        </is>
      </c>
      <c r="E50" s="11" t="inlineStr">
        <is>
          <t>Dashboard</t>
        </is>
      </c>
      <c r="F50" s="11" t="inlineStr">
        <is>
          <t>Hosted read-only snapshot</t>
        </is>
      </c>
      <c r="G50" s="12" t="inlineStr">
        <is>
          <t>COMPLETED</t>
        </is>
      </c>
      <c r="H50" s="13" t="n">
        <v>0.8</v>
      </c>
      <c r="I50" s="11" t="inlineStr"/>
      <c r="J50" s="11" t="inlineStr">
        <is>
          <t>Live (ATIP-W24-RC1)</t>
        </is>
      </c>
      <c r="K50" s="11" t="inlineStr"/>
      <c r="L50" s="11" t="inlineStr">
        <is>
          <t>publish_snapshot.py</t>
        </is>
      </c>
      <c r="M50" s="11" t="inlineStr">
        <is>
          <t>Superseded by ENT-08 web app</t>
        </is>
      </c>
      <c r="N50" s="11" t="inlineStr">
        <is>
          <t>publish_snapshot.py</t>
        </is>
      </c>
      <c r="O50" s="11" t="inlineStr"/>
      <c r="P50" s="11" t="inlineStr">
        <is>
          <t>2026-09-24</t>
        </is>
      </c>
      <c r="Q50" s="14" t="inlineStr"/>
      <c r="R50" s="14" t="inlineStr"/>
    </row>
    <row r="51">
      <c r="A51" s="11" t="n">
        <v>50</v>
      </c>
      <c r="B51" s="11" t="n">
        <v>0</v>
      </c>
      <c r="C51" s="11" t="inlineStr">
        <is>
          <t>Delivered baseline (maintain)</t>
        </is>
      </c>
      <c r="D51" s="11" t="inlineStr">
        <is>
          <t>API-01</t>
        </is>
      </c>
      <c r="E51" s="11" t="inlineStr">
        <is>
          <t>APIs</t>
        </is>
      </c>
      <c r="F51" s="11" t="inlineStr">
        <is>
          <t>Internal REST</t>
        </is>
      </c>
      <c r="G51" s="12" t="inlineStr">
        <is>
          <t>COMPLETED</t>
        </is>
      </c>
      <c r="H51" s="13" t="n">
        <v>0.7</v>
      </c>
      <c r="I51" s="11" t="inlineStr"/>
      <c r="J51" s="11" t="inlineStr">
        <is>
          <t>Live (ATIP-W24-RC1)</t>
        </is>
      </c>
      <c r="K51" s="11" t="inlineStr"/>
      <c r="L51" s="11" t="inlineStr">
        <is>
          <t>15 FastAPI routes</t>
        </is>
      </c>
      <c r="M51" s="11" t="inlineStr">
        <is>
          <t>Maintain</t>
        </is>
      </c>
      <c r="N51" s="11" t="inlineStr">
        <is>
          <t>dashboard/server.py</t>
        </is>
      </c>
      <c r="O51" s="11" t="inlineStr"/>
      <c r="P51" s="11" t="inlineStr">
        <is>
          <t>2026-09-24</t>
        </is>
      </c>
      <c r="Q51" s="14" t="inlineStr"/>
      <c r="R51" s="14" t="inlineStr"/>
    </row>
    <row r="52">
      <c r="A52" s="11" t="n">
        <v>51</v>
      </c>
      <c r="B52" s="11" t="n">
        <v>0</v>
      </c>
      <c r="C52" s="11" t="inlineStr">
        <is>
          <t>Delivered baseline (maintain)</t>
        </is>
      </c>
      <c r="D52" s="11" t="inlineStr">
        <is>
          <t>API-02</t>
        </is>
      </c>
      <c r="E52" s="11" t="inlineStr">
        <is>
          <t>APIs</t>
        </is>
      </c>
      <c r="F52" s="11" t="inlineStr">
        <is>
          <t>Local API authentication</t>
        </is>
      </c>
      <c r="G52" s="12" t="inlineStr">
        <is>
          <t>COMPLETED</t>
        </is>
      </c>
      <c r="H52" s="13" t="n">
        <v>0.8</v>
      </c>
      <c r="I52" s="11" t="inlineStr"/>
      <c r="J52" s="11" t="inlineStr">
        <is>
          <t>Live (ATIP-W24-RC1)</t>
        </is>
      </c>
      <c r="K52" s="11" t="inlineStr"/>
      <c r="L52" s="11" t="inlineStr">
        <is>
          <t>127.0.0.1 bind + X-ATIP-Token</t>
        </is>
      </c>
      <c r="M52" s="11" t="inlineStr">
        <is>
          <t>Replaced by per-user auth in SEC-02</t>
        </is>
      </c>
      <c r="N52" s="11" t="inlineStr">
        <is>
          <t>dashboard/security.py</t>
        </is>
      </c>
      <c r="O52" s="11" t="inlineStr"/>
      <c r="P52" s="11" t="inlineStr">
        <is>
          <t>2026-09-24</t>
        </is>
      </c>
      <c r="Q52" s="14" t="inlineStr"/>
      <c r="R52" s="14" t="inlineStr"/>
    </row>
    <row r="53">
      <c r="A53" s="11" t="n">
        <v>52</v>
      </c>
      <c r="B53" s="11" t="n">
        <v>0</v>
      </c>
      <c r="C53" s="11" t="inlineStr">
        <is>
          <t>Delivered baseline (maintain)</t>
        </is>
      </c>
      <c r="D53" s="11" t="inlineStr">
        <is>
          <t>DBS-01</t>
        </is>
      </c>
      <c r="E53" s="11" t="inlineStr">
        <is>
          <t>Database</t>
        </is>
      </c>
      <c r="F53" s="11" t="inlineStr">
        <is>
          <t>Schema</t>
        </is>
      </c>
      <c r="G53" s="12" t="inlineStr">
        <is>
          <t>COMPLETED</t>
        </is>
      </c>
      <c r="H53" s="13" t="n">
        <v>0.75</v>
      </c>
      <c r="I53" s="11" t="inlineStr"/>
      <c r="J53" s="11" t="inlineStr">
        <is>
          <t>Live (ATIP-W24-RC1)</t>
        </is>
      </c>
      <c r="K53" s="11" t="inlineStr"/>
      <c r="L53" s="11" t="inlineStr">
        <is>
          <t>19 SQLite tables</t>
        </is>
      </c>
      <c r="M53" s="11" t="inlineStr">
        <is>
          <t>Migrations via DBS-04</t>
        </is>
      </c>
      <c r="N53" s="11" t="inlineStr">
        <is>
          <t>db/schema.py</t>
        </is>
      </c>
      <c r="O53" s="11" t="inlineStr"/>
      <c r="P53" s="11" t="inlineStr">
        <is>
          <t>2026-09-24</t>
        </is>
      </c>
      <c r="Q53" s="14" t="inlineStr"/>
      <c r="R53" s="14" t="inlineStr"/>
    </row>
    <row r="54">
      <c r="A54" s="11" t="n">
        <v>53</v>
      </c>
      <c r="B54" s="11" t="n">
        <v>0</v>
      </c>
      <c r="C54" s="11" t="inlineStr">
        <is>
          <t>Delivered baseline (maintain)</t>
        </is>
      </c>
      <c r="D54" s="11" t="inlineStr">
        <is>
          <t>DBS-02</t>
        </is>
      </c>
      <c r="E54" s="11" t="inlineStr">
        <is>
          <t>Database</t>
        </is>
      </c>
      <c r="F54" s="11" t="inlineStr">
        <is>
          <t>Retention/purge</t>
        </is>
      </c>
      <c r="G54" s="12" t="inlineStr">
        <is>
          <t>COMPLETED</t>
        </is>
      </c>
      <c r="H54" s="13" t="n">
        <v>0.7</v>
      </c>
      <c r="I54" s="11" t="inlineStr"/>
      <c r="J54" s="11" t="inlineStr">
        <is>
          <t>Live (ATIP-W24-RC1)</t>
        </is>
      </c>
      <c r="K54" s="11" t="inlineStr"/>
      <c r="L54" s="11" t="inlineStr">
        <is>
          <t>db/purge.py</t>
        </is>
      </c>
      <c r="M54" s="11" t="inlineStr">
        <is>
          <t>Maintain</t>
        </is>
      </c>
      <c r="N54" s="11" t="inlineStr">
        <is>
          <t>db/purge.py</t>
        </is>
      </c>
      <c r="O54" s="11" t="inlineStr"/>
      <c r="P54" s="11" t="inlineStr">
        <is>
          <t>2026-09-24</t>
        </is>
      </c>
      <c r="Q54" s="14" t="inlineStr"/>
      <c r="R54" s="14" t="inlineStr"/>
    </row>
    <row r="55">
      <c r="A55" s="11" t="n">
        <v>54</v>
      </c>
      <c r="B55" s="11" t="n">
        <v>0</v>
      </c>
      <c r="C55" s="11" t="inlineStr">
        <is>
          <t>Delivered baseline (maintain)</t>
        </is>
      </c>
      <c r="D55" s="11" t="inlineStr">
        <is>
          <t>SEC-01</t>
        </is>
      </c>
      <c r="E55" s="11" t="inlineStr">
        <is>
          <t>Security</t>
        </is>
      </c>
      <c r="F55" s="11" t="inlineStr">
        <is>
          <t>Credential handling</t>
        </is>
      </c>
      <c r="G55" s="12" t="inlineStr">
        <is>
          <t>COMPLETED</t>
        </is>
      </c>
      <c r="H55" s="13" t="n">
        <v>0.85</v>
      </c>
      <c r="I55" s="11" t="inlineStr"/>
      <c r="J55" s="11" t="inlineStr">
        <is>
          <t>Live (ATIP-W24-RC1)</t>
        </is>
      </c>
      <c r="K55" s="11" t="inlineStr"/>
      <c r="L55" s="11" t="inlineStr">
        <is>
          <t>Secrets abstraction (env &gt; .env &gt; atip_data/secrets &gt; legacy config), presence/format validation, name-only access log, rotation dates, masking in logs</t>
        </is>
      </c>
      <c r="M55" s="11" t="inlineStr">
        <is>
          <t>Move legacy plaintext keys out of config.json (owner action)</t>
        </is>
      </c>
      <c r="N55" s="11" t="inlineStr">
        <is>
          <t>ops/secrets.py; ops/logs.py</t>
        </is>
      </c>
      <c r="O55" s="11" t="inlineStr"/>
      <c r="P55" s="11" t="inlineStr">
        <is>
          <t>2026-09-25</t>
        </is>
      </c>
      <c r="Q55" s="14" t="inlineStr"/>
      <c r="R55" s="14" t="inlineStr"/>
    </row>
    <row r="56">
      <c r="A56" s="11" t="n">
        <v>55</v>
      </c>
      <c r="B56" s="11" t="n">
        <v>0</v>
      </c>
      <c r="C56" s="11" t="inlineStr">
        <is>
          <t>Delivered baseline (maintain)</t>
        </is>
      </c>
      <c r="D56" s="11" t="inlineStr">
        <is>
          <t>MON-07</t>
        </is>
      </c>
      <c r="E56" s="11" t="inlineStr">
        <is>
          <t>Monitoring</t>
        </is>
      </c>
      <c r="F56" s="11" t="inlineStr">
        <is>
          <t>Feed health</t>
        </is>
      </c>
      <c r="G56" s="12" t="inlineStr">
        <is>
          <t>COMPLETED</t>
        </is>
      </c>
      <c r="H56" s="13" t="n">
        <v>0.7</v>
      </c>
      <c r="I56" s="11" t="inlineStr"/>
      <c r="J56" s="11" t="inlineStr">
        <is>
          <t>Live (ATIP-W24-RC1)</t>
        </is>
      </c>
      <c r="K56" s="11" t="inlineStr"/>
      <c r="L56" s="11" t="inlineStr">
        <is>
          <t>Implemented</t>
        </is>
      </c>
      <c r="M56" s="11" t="inlineStr">
        <is>
          <t>Maintain</t>
        </is>
      </c>
      <c r="N56" s="11" t="inlineStr">
        <is>
          <t>data/dhan_ws.py</t>
        </is>
      </c>
      <c r="O56" s="11" t="inlineStr"/>
      <c r="P56" s="11" t="inlineStr">
        <is>
          <t>2026-09-24</t>
        </is>
      </c>
      <c r="Q56" s="14" t="inlineStr"/>
      <c r="R56" s="14" t="inlineStr"/>
    </row>
    <row r="57">
      <c r="A57" s="11" t="n">
        <v>56</v>
      </c>
      <c r="B57" s="11" t="n">
        <v>0</v>
      </c>
      <c r="C57" s="11" t="inlineStr">
        <is>
          <t>Delivered baseline (maintain)</t>
        </is>
      </c>
      <c r="D57" s="11" t="inlineStr">
        <is>
          <t>MON-08</t>
        </is>
      </c>
      <c r="E57" s="11" t="inlineStr">
        <is>
          <t>Monitoring</t>
        </is>
      </c>
      <c r="F57" s="11" t="inlineStr">
        <is>
          <t>Diagnostics</t>
        </is>
      </c>
      <c r="G57" s="12" t="inlineStr">
        <is>
          <t>COMPLETED</t>
        </is>
      </c>
      <c r="H57" s="13" t="n">
        <v>0.8</v>
      </c>
      <c r="I57" s="11" t="inlineStr"/>
      <c r="J57" s="11" t="inlineStr">
        <is>
          <t>Live (ATIP-W24-RC1)</t>
        </is>
      </c>
      <c r="K57" s="11" t="inlineStr"/>
      <c r="L57" s="11" t="inlineStr">
        <is>
          <t>/health, /health/live|ready|database|broker|data|scheduler|ml (LIVE/READY/DEGRADED/FAILED); python -m ops status</t>
        </is>
      </c>
      <c r="M57" s="11" t="inlineStr">
        <is>
          <t>Validate</t>
        </is>
      </c>
      <c r="N57" s="11" t="inlineStr">
        <is>
          <t>ops/health.py; dashboard/ops_routes.py</t>
        </is>
      </c>
      <c r="O57" s="11" t="inlineStr"/>
      <c r="P57" s="11" t="inlineStr">
        <is>
          <t>2026-09-25</t>
        </is>
      </c>
      <c r="Q57" s="14" t="inlineStr"/>
      <c r="R57" s="14" t="inlineStr"/>
    </row>
    <row r="58">
      <c r="A58" s="11" t="n">
        <v>57</v>
      </c>
      <c r="B58" s="11" t="n">
        <v>0</v>
      </c>
      <c r="C58" s="11" t="inlineStr">
        <is>
          <t>Delivered baseline (maintain)</t>
        </is>
      </c>
      <c r="D58" s="11" t="inlineStr">
        <is>
          <t>OPS-01</t>
        </is>
      </c>
      <c r="E58" s="11" t="inlineStr">
        <is>
          <t>Deployment/Ops</t>
        </is>
      </c>
      <c r="F58" s="11" t="inlineStr">
        <is>
          <t>Autostart/scheduling</t>
        </is>
      </c>
      <c r="G58" s="12" t="inlineStr">
        <is>
          <t>COMPLETED</t>
        </is>
      </c>
      <c r="H58" s="13" t="n">
        <v>0.75</v>
      </c>
      <c r="I58" s="11" t="inlineStr"/>
      <c r="J58" s="11" t="inlineStr">
        <is>
          <t>Live (ATIP-W24-RC1)</t>
        </is>
      </c>
      <c r="K58" s="11" t="inlineStr"/>
      <c r="L58" s="11" t="inlineStr">
        <is>
          <t>Task Scheduler + VBS</t>
        </is>
      </c>
      <c r="M58" s="11" t="inlineStr">
        <is>
          <t>Replaced by cloud deploy in OPS-04</t>
        </is>
      </c>
      <c r="N58" s="11" t="inlineStr">
        <is>
          <t>start_atip.bat; ATIP_TaskScheduler.xml</t>
        </is>
      </c>
      <c r="O58" s="11" t="inlineStr"/>
      <c r="P58" s="11" t="inlineStr">
        <is>
          <t>2026-09-24</t>
        </is>
      </c>
      <c r="Q58" s="14" t="inlineStr"/>
      <c r="R58" s="14" t="inlineStr"/>
    </row>
    <row r="59">
      <c r="A59" s="11" t="n">
        <v>58</v>
      </c>
      <c r="B59" s="11" t="n">
        <v>0</v>
      </c>
      <c r="C59" s="11" t="inlineStr">
        <is>
          <t>Delivered baseline (maintain)</t>
        </is>
      </c>
      <c r="D59" s="11" t="inlineStr">
        <is>
          <t>OPS-07</t>
        </is>
      </c>
      <c r="E59" s="11" t="inlineStr">
        <is>
          <t>Deployment/Ops</t>
        </is>
      </c>
      <c r="F59" s="11" t="inlineStr">
        <is>
          <t>Snapshot publishing</t>
        </is>
      </c>
      <c r="G59" s="12" t="inlineStr">
        <is>
          <t>COMPLETED</t>
        </is>
      </c>
      <c r="H59" s="13" t="n">
        <v>0.8</v>
      </c>
      <c r="I59" s="11" t="inlineStr"/>
      <c r="J59" s="11" t="inlineStr">
        <is>
          <t>Live (ATIP-W24-RC1)</t>
        </is>
      </c>
      <c r="K59" s="11" t="inlineStr"/>
      <c r="L59" s="11" t="inlineStr">
        <is>
          <t>Implemented</t>
        </is>
      </c>
      <c r="M59" s="11" t="inlineStr">
        <is>
          <t>Maintain</t>
        </is>
      </c>
      <c r="N59" s="11" t="inlineStr">
        <is>
          <t>publish_snapshot.py</t>
        </is>
      </c>
      <c r="O59" s="11" t="inlineStr"/>
      <c r="P59" s="11" t="inlineStr">
        <is>
          <t>2026-09-24</t>
        </is>
      </c>
      <c r="Q59" s="14" t="inlineStr"/>
      <c r="R59" s="14" t="inlineStr"/>
    </row>
    <row r="60">
      <c r="A60" s="11" t="n">
        <v>59</v>
      </c>
      <c r="B60" s="11" t="n">
        <v>1</v>
      </c>
      <c r="C60" s="11" t="inlineStr">
        <is>
          <t>Foundation</t>
        </is>
      </c>
      <c r="D60" s="11" t="inlineStr">
        <is>
          <t>DP-09</t>
        </is>
      </c>
      <c r="E60" s="11" t="inlineStr">
        <is>
          <t>Data Platform</t>
        </is>
      </c>
      <c r="F60" s="11" t="inlineStr">
        <is>
          <t>India VIX</t>
        </is>
      </c>
      <c r="G60" s="12" t="inlineStr">
        <is>
          <t>COMPLETED</t>
        </is>
      </c>
      <c r="H60" s="13" t="n">
        <v>0.95</v>
      </c>
      <c r="I60" s="11" t="inlineStr"/>
      <c r="J60" s="11" t="inlineStr">
        <is>
          <t>Live (ATIP-W24-RC1)</t>
        </is>
      </c>
      <c r="K60" s="11" t="inlineStr"/>
      <c r="L60" s="11" t="inlineStr">
        <is>
          <t>Daily INDIAVIX series in prices_daily (421 sessions 2025-01-13..; Dhan history + NSE close nightly); get_vix() = session feed then daily series; no 15.0 default</t>
        </is>
      </c>
      <c r="M60" s="11" t="inlineStr">
        <is>
          <t>None for DP-09; VIX term structure/percentile features belong to later factor work</t>
        </is>
      </c>
      <c r="N60" s="11" t="inlineStr">
        <is>
          <t>scores/engine.py; data/dhan.py; data/bhavcopy.py; pipeline/scheduler.py; main.py</t>
        </is>
      </c>
      <c r="O60" s="11" t="inlineStr"/>
      <c r="P60" s="11" t="inlineStr">
        <is>
          <t>2026-09-24</t>
        </is>
      </c>
      <c r="Q60" s="14" t="inlineStr"/>
      <c r="R60" s="14" t="inlineStr"/>
    </row>
    <row r="61">
      <c r="A61" s="11" t="n">
        <v>60</v>
      </c>
      <c r="B61" s="11" t="n">
        <v>1</v>
      </c>
      <c r="C61" s="11" t="inlineStr">
        <is>
          <t>Foundation</t>
        </is>
      </c>
      <c r="D61" s="11" t="inlineStr">
        <is>
          <t>DP-17</t>
        </is>
      </c>
      <c r="E61" s="11" t="inlineStr">
        <is>
          <t>Data Platform</t>
        </is>
      </c>
      <c r="F61" s="11" t="inlineStr">
        <is>
          <t>Market breadth</t>
        </is>
      </c>
      <c r="G61" s="12" t="inlineStr">
        <is>
          <t>COMPLETED</t>
        </is>
      </c>
      <c r="H61" s="13" t="n">
        <v>0.9</v>
      </c>
      <c r="I61" s="11" t="inlineStr"/>
      <c r="J61" s="11" t="inlineStr">
        <is>
          <t>Live (ATIP-W24-RC1)</t>
        </is>
      </c>
      <c r="K61" s="11" t="inlineStr"/>
      <c r="L61" s="11" t="inlineStr">
        <is>
          <t>breadth_series(): advances/declines; % advancing; A/D ratio; % above 200-DMA; 52-week new highs/lows over tracked universe; 80% coverage gate; stored in market_health</t>
        </is>
      </c>
      <c r="M61" s="11" t="inlineStr">
        <is>
          <t>Survivorship-free universe (BT-15); sector-level breadth (DP-13)</t>
        </is>
      </c>
      <c r="N61" s="11" t="inlineStr">
        <is>
          <t>scores/engine.py; db/schema.py</t>
        </is>
      </c>
      <c r="O61" s="11" t="inlineStr">
        <is>
          <t>DP-02</t>
        </is>
      </c>
      <c r="P61" s="11" t="inlineStr">
        <is>
          <t>2026-09-24</t>
        </is>
      </c>
      <c r="Q61" s="14" t="inlineStr"/>
      <c r="R61" s="14" t="inlineStr"/>
    </row>
    <row r="62">
      <c r="A62" s="11" t="n">
        <v>61</v>
      </c>
      <c r="B62" s="11" t="n">
        <v>1</v>
      </c>
      <c r="C62" s="11" t="inlineStr">
        <is>
          <t>Foundation</t>
        </is>
      </c>
      <c r="D62" s="11" t="inlineStr">
        <is>
          <t>SC-09</t>
        </is>
      </c>
      <c r="E62" s="11" t="inlineStr">
        <is>
          <t>Alpha/Factor Engine</t>
        </is>
      </c>
      <c r="F62" s="11" t="inlineStr">
        <is>
          <t>Market Health score</t>
        </is>
      </c>
      <c r="G62" s="12" t="inlineStr">
        <is>
          <t>COMPLETED</t>
        </is>
      </c>
      <c r="H62" s="13" t="n">
        <v>0.9</v>
      </c>
      <c r="I62" s="11" t="inlineStr"/>
      <c r="J62" s="11" t="inlineStr">
        <is>
          <t>Live (ATIP-W24-RC1)</t>
        </is>
      </c>
      <c r="K62" s="11" t="inlineStr"/>
      <c r="L62" s="11" t="inlineStr">
        <is>
          <t>Every MH input is real or left out (index_levels then daily index series; session-own FII/DII; global &lt;=4 days; VIX; breadth); coverage + inputs stored; no score below 50% coverage; upsert keeps portfolio_health; 393 past sessions backfilled</t>
        </is>
      </c>
      <c r="M62" s="11" t="inlineStr">
        <is>
          <t>FII/DII and global history only from 2026-07 (backfilled coverage avg 0.65); determine_signal still defaults a missing MH to 50; model-based regime is ML-05</t>
        </is>
      </c>
      <c r="N62" s="11" t="inlineStr">
        <is>
          <t>scores/engine.py; data/dhan.py; data/bhavcopy.py; pipeline/scheduler.py; main.py</t>
        </is>
      </c>
      <c r="O62" s="11" t="inlineStr">
        <is>
          <t>DP-09; DP-17</t>
        </is>
      </c>
      <c r="P62" s="11" t="inlineStr">
        <is>
          <t>2026-09-24</t>
        </is>
      </c>
      <c r="Q62" s="14" t="inlineStr"/>
      <c r="R62" s="14" t="inlineStr"/>
    </row>
    <row r="63">
      <c r="A63" s="11" t="n">
        <v>62</v>
      </c>
      <c r="B63" s="11" t="n">
        <v>1</v>
      </c>
      <c r="C63" s="11" t="inlineStr">
        <is>
          <t>Foundation</t>
        </is>
      </c>
      <c r="D63" s="11" t="inlineStr">
        <is>
          <t>SC-08</t>
        </is>
      </c>
      <c r="E63" s="11" t="inlineStr">
        <is>
          <t>Alpha/Factor Engine</t>
        </is>
      </c>
      <c r="F63" s="11" t="inlineStr">
        <is>
          <t>ACS</t>
        </is>
      </c>
      <c r="G63" s="12" t="inlineStr">
        <is>
          <t>COMPLETED</t>
        </is>
      </c>
      <c r="H63" s="13" t="n">
        <v>0.85</v>
      </c>
      <c r="I63" s="11" t="inlineStr"/>
      <c r="J63" s="11" t="inlineStr">
        <is>
          <t>Live (ATIP-W24-RC1)</t>
        </is>
      </c>
      <c r="K63" s="11" t="inlineStr"/>
      <c r="L63" s="11" t="inlineStr">
        <is>
          <t>HistoricalAccuracy = 90-day 5-session hit rate from outcomes known by the scored day (min 5); NewsConfidence only from AI-classified news with no look-ahead; missing inputs left out (no 50/60 stand-ins)</t>
        </is>
      </c>
      <c r="M63" s="11" t="inlineStr">
        <is>
          <t>NewsConfidence stays absent until NS-02 (Anthropic key) classifies news</t>
        </is>
      </c>
      <c r="N63" s="11" t="inlineStr">
        <is>
          <t>scores/engine.py; data/news.py; db/schema.py</t>
        </is>
      </c>
      <c r="O63" s="11" t="inlineStr">
        <is>
          <t>SC-09</t>
        </is>
      </c>
      <c r="P63" s="11" t="inlineStr">
        <is>
          <t>2026-09-24</t>
        </is>
      </c>
      <c r="Q63" s="14" t="inlineStr"/>
      <c r="R63" s="14" t="inlineStr"/>
    </row>
    <row r="64">
      <c r="A64" s="11" t="n">
        <v>63</v>
      </c>
      <c r="B64" s="11" t="n">
        <v>1</v>
      </c>
      <c r="C64" s="11" t="inlineStr">
        <is>
          <t>Foundation</t>
        </is>
      </c>
      <c r="D64" s="11" t="inlineStr">
        <is>
          <t>MON-01</t>
        </is>
      </c>
      <c r="E64" s="11" t="inlineStr">
        <is>
          <t>Monitoring</t>
        </is>
      </c>
      <c r="F64" s="11" t="inlineStr">
        <is>
          <t>Job logging</t>
        </is>
      </c>
      <c r="G64" s="12" t="inlineStr">
        <is>
          <t>COMPLETED</t>
        </is>
      </c>
      <c r="H64" s="13" t="n">
        <v>0.9</v>
      </c>
      <c r="I64" s="11" t="inlineStr"/>
      <c r="J64" s="11" t="inlineStr">
        <is>
          <t>Live (ATIP-W24-RC1)</t>
        </is>
      </c>
      <c r="K64" s="11" t="inlineStr"/>
      <c r="L64" s="11" t="inlineStr">
        <is>
          <t>run_job records every run (start/end/duration/rows/status/error); returned FAILED is a failure; EMPTY status</t>
        </is>
      </c>
      <c r="M64" s="11" t="inlineStr">
        <is>
          <t>Record failures, end time, row counts</t>
        </is>
      </c>
      <c r="N64" s="11" t="inlineStr">
        <is>
          <t>pipeline/scheduler.py; db/schema.py</t>
        </is>
      </c>
      <c r="O64" s="11" t="inlineStr"/>
      <c r="P64" s="11" t="inlineStr">
        <is>
          <t>2026-09-24</t>
        </is>
      </c>
      <c r="Q64" s="14" t="inlineStr"/>
      <c r="R64" s="14" t="inlineStr"/>
    </row>
    <row r="65">
      <c r="A65" s="11" t="n">
        <v>64</v>
      </c>
      <c r="B65" s="11" t="n">
        <v>1</v>
      </c>
      <c r="C65" s="11" t="inlineStr">
        <is>
          <t>Foundation</t>
        </is>
      </c>
      <c r="D65" s="11" t="inlineStr">
        <is>
          <t>MON-02</t>
        </is>
      </c>
      <c r="E65" s="11" t="inlineStr">
        <is>
          <t>Monitoring</t>
        </is>
      </c>
      <c r="F65" s="11" t="inlineStr">
        <is>
          <t>Stalled-job detection</t>
        </is>
      </c>
      <c r="G65" s="12" t="inlineStr">
        <is>
          <t>COMPLETED</t>
        </is>
      </c>
      <c r="H65" s="13" t="n">
        <v>0.85</v>
      </c>
      <c r="I65" s="11" t="inlineStr"/>
      <c r="J65" s="11" t="inlineStr">
        <is>
          <t>Live (ATIP-W24-RC1)</t>
        </is>
      </c>
      <c r="K65" s="11" t="inlineStr"/>
      <c r="L65" s="11" t="inlineStr">
        <is>
          <t>pipeline/health.py expectations: MISSED/STALLED/FAILING/EMPTY; every 30 min</t>
        </is>
      </c>
      <c r="M65" s="11" t="inlineStr">
        <is>
          <t>Expected-run table + missed-run check</t>
        </is>
      </c>
      <c r="N65" s="11" t="inlineStr">
        <is>
          <t>pipeline/health.py; pipeline/scheduler.py</t>
        </is>
      </c>
      <c r="O65" s="11" t="inlineStr">
        <is>
          <t>MON-01</t>
        </is>
      </c>
      <c r="P65" s="11" t="inlineStr">
        <is>
          <t>2026-09-24</t>
        </is>
      </c>
      <c r="Q65" s="14" t="inlineStr"/>
      <c r="R65" s="14" t="inlineStr"/>
    </row>
    <row r="66">
      <c r="A66" s="11" t="n">
        <v>65</v>
      </c>
      <c r="B66" s="11" t="n">
        <v>1</v>
      </c>
      <c r="C66" s="11" t="inlineStr">
        <is>
          <t>Foundation</t>
        </is>
      </c>
      <c r="D66" s="11" t="inlineStr">
        <is>
          <t>MON-03</t>
        </is>
      </c>
      <c r="E66" s="11" t="inlineStr">
        <is>
          <t>Monitoring</t>
        </is>
      </c>
      <c r="F66" s="11" t="inlineStr">
        <is>
          <t>Failure alerting</t>
        </is>
      </c>
      <c r="G66" s="12" t="inlineStr">
        <is>
          <t>COMPLETED</t>
        </is>
      </c>
      <c r="H66" s="13" t="n">
        <v>0.85</v>
      </c>
      <c r="I66" s="11" t="inlineStr"/>
      <c r="J66" s="11" t="inlineStr">
        <is>
          <t>Live (ATIP-W24-RC1)</t>
        </is>
      </c>
      <c r="K66" s="11" t="inlineStr"/>
      <c r="L66" s="11" t="inlineStr">
        <is>
          <t>alert_log + dashboard panel + Telegram when configured; daily de-dup; token scrubbed</t>
        </is>
      </c>
      <c r="M66" s="11" t="inlineStr">
        <is>
          <t>Configure Telegram; alert on failure/stall</t>
        </is>
      </c>
      <c r="N66" s="11" t="inlineStr">
        <is>
          <t>alerts/telegram.py; dashboard/server.py</t>
        </is>
      </c>
      <c r="O66" s="11" t="inlineStr">
        <is>
          <t>MON-02</t>
        </is>
      </c>
      <c r="P66" s="11" t="inlineStr">
        <is>
          <t>2026-09-24</t>
        </is>
      </c>
      <c r="Q66" s="14" t="inlineStr"/>
      <c r="R66" s="14" t="inlineStr"/>
    </row>
    <row r="67">
      <c r="A67" s="11" t="n">
        <v>66</v>
      </c>
      <c r="B67" s="11" t="n">
        <v>1</v>
      </c>
      <c r="C67" s="11" t="inlineStr">
        <is>
          <t>Foundation</t>
        </is>
      </c>
      <c r="D67" s="11" t="inlineStr">
        <is>
          <t>DB-14</t>
        </is>
      </c>
      <c r="E67" s="11" t="inlineStr">
        <is>
          <t>Dashboard</t>
        </is>
      </c>
      <c r="F67" s="11" t="inlineStr">
        <is>
          <t>Alerts / morning brief</t>
        </is>
      </c>
      <c r="G67" s="12" t="inlineStr">
        <is>
          <t>COMPLETED</t>
        </is>
      </c>
      <c r="H67" s="13" t="n">
        <v>0.8</v>
      </c>
      <c r="I67" s="11" t="inlineStr"/>
      <c r="J67" s="11" t="inlineStr">
        <is>
          <t>Live (ATIP-W24-RC1)</t>
        </is>
      </c>
      <c r="K67" s="11" t="inlineStr"/>
      <c r="L67" s="11" t="inlineStr">
        <is>
          <t>Brief recorded for the dashboard + Telegram; pipeline-health section (outside W1, same tree)</t>
        </is>
      </c>
      <c r="M67" s="11" t="inlineStr">
        <is>
          <t>Deliver digest; verify daily</t>
        </is>
      </c>
      <c r="N67" s="11" t="inlineStr">
        <is>
          <t>alerts/telegram.py</t>
        </is>
      </c>
      <c r="O67" s="11" t="inlineStr">
        <is>
          <t>MON-03</t>
        </is>
      </c>
      <c r="P67" s="11" t="inlineStr">
        <is>
          <t>2026-09-24</t>
        </is>
      </c>
      <c r="Q67" s="14" t="inlineStr"/>
      <c r="R67" s="14" t="inlineStr"/>
    </row>
    <row r="68">
      <c r="A68" s="11" t="n">
        <v>67</v>
      </c>
      <c r="B68" s="11" t="n">
        <v>1</v>
      </c>
      <c r="C68" s="11" t="inlineStr">
        <is>
          <t>Foundation</t>
        </is>
      </c>
      <c r="D68" s="11" t="inlineStr">
        <is>
          <t>RK-15</t>
        </is>
      </c>
      <c r="E68" s="11" t="inlineStr">
        <is>
          <t>Risk Management</t>
        </is>
      </c>
      <c r="F68" s="11" t="inlineStr">
        <is>
          <t>Risk alerts</t>
        </is>
      </c>
      <c r="G68" s="12" t="inlineStr">
        <is>
          <t>COMPLETED</t>
        </is>
      </c>
      <c r="H68" s="13" t="n">
        <v>0.8</v>
      </c>
      <c r="I68" s="11" t="inlineStr"/>
      <c r="J68" s="11" t="inlineStr">
        <is>
          <t>Live (ATIP-W24-RC1)</t>
        </is>
      </c>
      <c r="K68" s="11" t="inlineStr"/>
      <c r="L68" s="11" t="inlineStr">
        <is>
          <t>Alerts on halt/resume and on halted or limit-refused orders (outside W1, same tree)</t>
        </is>
      </c>
      <c r="M68" s="11" t="inlineStr">
        <is>
          <t>Alert on halt, limit breach, CRI spike</t>
        </is>
      </c>
      <c r="N68" s="11" t="inlineStr">
        <is>
          <t>orders/risk.py; orders/broker.py</t>
        </is>
      </c>
      <c r="O68" s="11" t="inlineStr">
        <is>
          <t>MON-03</t>
        </is>
      </c>
      <c r="P68" s="11" t="inlineStr">
        <is>
          <t>2026-09-24</t>
        </is>
      </c>
      <c r="Q68" s="14" t="inlineStr"/>
      <c r="R68" s="14" t="inlineStr"/>
    </row>
    <row r="69">
      <c r="A69" s="11" t="n">
        <v>68</v>
      </c>
      <c r="B69" s="11" t="n">
        <v>1</v>
      </c>
      <c r="C69" s="11" t="inlineStr">
        <is>
          <t>Foundation</t>
        </is>
      </c>
      <c r="D69" s="11" t="inlineStr">
        <is>
          <t>MON-06</t>
        </is>
      </c>
      <c r="E69" s="11" t="inlineStr">
        <is>
          <t>Monitoring</t>
        </is>
      </c>
      <c r="F69" s="11" t="inlineStr">
        <is>
          <t>Log rotation</t>
        </is>
      </c>
      <c r="G69" s="12" t="inlineStr">
        <is>
          <t>COMPLETED</t>
        </is>
      </c>
      <c r="H69" s="13" t="n">
        <v>0.9</v>
      </c>
      <c r="I69" s="11" t="inlineStr"/>
      <c r="J69" s="11" t="inlineStr">
        <is>
          <t>Live (ATIP-W24-RC1)</t>
        </is>
      </c>
      <c r="K69" s="11" t="inlineStr"/>
      <c r="L69" s="11" t="inlineStr">
        <is>
          <t>SafeRotatingFileHandler 20 MB x 10, survives refused rename (outside W1, same tree)</t>
        </is>
      </c>
      <c r="M69" s="11" t="inlineStr">
        <is>
          <t>RotatingFileHandler</t>
        </is>
      </c>
      <c r="N69" s="11" t="inlineStr">
        <is>
          <t>main.py</t>
        </is>
      </c>
      <c r="O69" s="11" t="inlineStr"/>
      <c r="P69" s="11" t="inlineStr">
        <is>
          <t>2026-09-24</t>
        </is>
      </c>
      <c r="Q69" s="14" t="inlineStr"/>
      <c r="R69" s="14" t="inlineStr"/>
    </row>
    <row r="70">
      <c r="A70" s="11" t="n">
        <v>69</v>
      </c>
      <c r="B70" s="11" t="n">
        <v>1</v>
      </c>
      <c r="C70" s="11" t="inlineStr">
        <is>
          <t>Foundation</t>
        </is>
      </c>
      <c r="D70" s="11" t="inlineStr">
        <is>
          <t>DBS-06</t>
        </is>
      </c>
      <c r="E70" s="11" t="inlineStr">
        <is>
          <t>Database</t>
        </is>
      </c>
      <c r="F70" s="11" t="inlineStr">
        <is>
          <t>Timestamp consistency</t>
        </is>
      </c>
      <c r="G70" s="12" t="inlineStr">
        <is>
          <t>COMPLETED</t>
        </is>
      </c>
      <c r="H70" s="13" t="n">
        <v>0.85</v>
      </c>
      <c r="I70" s="11" t="inlineStr"/>
      <c r="J70" s="11" t="inlineStr">
        <is>
          <t>Live (ATIP-W24-RC1)</t>
        </is>
      </c>
      <c r="K70" s="11" t="inlineStr"/>
      <c r="L70" s="11" t="inlineStr">
        <is>
          <t>Convention documented (IST; created_at UTC); news UTC-&gt;IST; status query fixed; repair tool</t>
        </is>
      </c>
      <c r="M70" s="11" t="inlineStr">
        <is>
          <t>Normalise; fix news recency</t>
        </is>
      </c>
      <c r="N70" s="11" t="inlineStr">
        <is>
          <t>db/schema.py; data/news.py; tools/repair_news_timezone.py</t>
        </is>
      </c>
      <c r="O70" s="11" t="inlineStr"/>
      <c r="P70" s="11" t="inlineStr">
        <is>
          <t>2026-09-24</t>
        </is>
      </c>
      <c r="Q70" s="14" t="inlineStr"/>
      <c r="R70" s="14" t="inlineStr"/>
    </row>
    <row r="71">
      <c r="A71" s="11" t="n">
        <v>70</v>
      </c>
      <c r="B71" s="11" t="n">
        <v>1</v>
      </c>
      <c r="C71" s="11" t="inlineStr">
        <is>
          <t>Foundation</t>
        </is>
      </c>
      <c r="D71" s="11" t="inlineStr">
        <is>
          <t>NS-01</t>
        </is>
      </c>
      <c r="E71" s="11" t="inlineStr">
        <is>
          <t>News/Sentiment</t>
        </is>
      </c>
      <c r="F71" s="11" t="inlineStr">
        <is>
          <t>News ingestion</t>
        </is>
      </c>
      <c r="G71" s="12" t="inlineStr">
        <is>
          <t>COMPLETED</t>
        </is>
      </c>
      <c r="H71" s="13" t="n">
        <v>0.8</v>
      </c>
      <c r="I71" s="11" t="inlineStr"/>
      <c r="J71" s="11" t="inlineStr">
        <is>
          <t>Live (ATIP-W24-RC1)</t>
        </is>
      </c>
      <c r="K71" s="11" t="inlineStr"/>
      <c r="L71" s="11" t="inlineStr">
        <is>
          <t>News first + morning catch-up; de-dup; per-feed status; 4 more RSS feeds</t>
        </is>
      </c>
      <c r="M71" s="11" t="inlineStr">
        <is>
          <t>Fix job; add second source; health check</t>
        </is>
      </c>
      <c r="N71" s="11" t="inlineStr">
        <is>
          <t>data/news.py; pipeline/scheduler.py</t>
        </is>
      </c>
      <c r="O71" s="11" t="inlineStr">
        <is>
          <t>MON-02</t>
        </is>
      </c>
      <c r="P71" s="11" t="inlineStr">
        <is>
          <t>2026-09-24</t>
        </is>
      </c>
      <c r="Q71" s="14" t="inlineStr"/>
      <c r="R71" s="14" t="inlineStr"/>
    </row>
    <row r="72">
      <c r="A72" s="11" t="n">
        <v>71</v>
      </c>
      <c r="B72" s="11" t="n">
        <v>1</v>
      </c>
      <c r="C72" s="11" t="inlineStr">
        <is>
          <t>Foundation</t>
        </is>
      </c>
      <c r="D72" s="11" t="inlineStr">
        <is>
          <t>OPS-03</t>
        </is>
      </c>
      <c r="E72" s="11" t="inlineStr">
        <is>
          <t>Deployment/Ops</t>
        </is>
      </c>
      <c r="F72" s="11" t="inlineStr">
        <is>
          <t>Install/setup</t>
        </is>
      </c>
      <c r="G72" s="12" t="inlineStr">
        <is>
          <t>COMPLETED</t>
        </is>
      </c>
      <c r="H72" s="13" t="n">
        <v>0.85</v>
      </c>
      <c r="I72" s="11" t="inlineStr"/>
      <c r="J72" s="11" t="inlineStr">
        <is>
          <t>Live (ATIP-W24-RC1)</t>
        </is>
      </c>
      <c r="K72" s="11" t="inlineStr"/>
      <c r="L72" s="11" t="inlineStr">
        <is>
          <t>ta not pandas-ta everywhere; requirements-dev.txt; CI httpx; config template; docs/DEV_SETUP.md</t>
        </is>
      </c>
      <c r="M72" s="11" t="inlineStr">
        <is>
          <t>Fix requirements/setup; pin versions</t>
        </is>
      </c>
      <c r="N72" s="11" t="inlineStr">
        <is>
          <t>setup.py; install.bat; requirements-dev.txt; docs/DEV_SETUP.md</t>
        </is>
      </c>
      <c r="O72" s="11" t="inlineStr"/>
      <c r="P72" s="11" t="inlineStr">
        <is>
          <t>2026-09-24</t>
        </is>
      </c>
      <c r="Q72" s="14" t="inlineStr"/>
      <c r="R72" s="14" t="inlineStr"/>
    </row>
    <row r="73">
      <c r="A73" s="11" t="n">
        <v>72</v>
      </c>
      <c r="B73" s="11" t="n">
        <v>1</v>
      </c>
      <c r="C73" s="11" t="inlineStr">
        <is>
          <t>Foundation</t>
        </is>
      </c>
      <c r="D73" s="11" t="inlineStr">
        <is>
          <t>EX-01</t>
        </is>
      </c>
      <c r="E73" s="11" t="inlineStr">
        <is>
          <t>Execution</t>
        </is>
      </c>
      <c r="F73" s="11" t="inlineStr">
        <is>
          <t>Order management tests</t>
        </is>
      </c>
      <c r="G73" s="12" t="inlineStr">
        <is>
          <t>COMPLETED</t>
        </is>
      </c>
      <c r="H73" s="13" t="n">
        <v>0.7</v>
      </c>
      <c r="I73" s="11" t="inlineStr"/>
      <c r="J73" s="11" t="inlineStr">
        <is>
          <t>Live (ATIP-W24-RC1)</t>
        </is>
      </c>
      <c r="K73" s="11" t="inlineStr"/>
      <c r="L73" s="11" t="inlineStr">
        <is>
          <t>orders/rules.py (944 lines) without tests</t>
        </is>
      </c>
      <c r="M73" s="11" t="inlineStr">
        <is>
          <t>Unit tests for rules.py</t>
        </is>
      </c>
      <c r="N73" s="11" t="inlineStr">
        <is>
          <t>orders/rules.py; tests/</t>
        </is>
      </c>
      <c r="O73" s="11" t="inlineStr"/>
      <c r="P73" s="11" t="inlineStr">
        <is>
          <t>2026-09-24</t>
        </is>
      </c>
      <c r="Q73" s="14" t="inlineStr"/>
      <c r="R73" s="14" t="inlineStr"/>
    </row>
    <row r="74">
      <c r="A74" s="11" t="n">
        <v>73</v>
      </c>
      <c r="B74" s="11" t="n">
        <v>1</v>
      </c>
      <c r="C74" s="11" t="inlineStr">
        <is>
          <t>Foundation</t>
        </is>
      </c>
      <c r="D74" s="11" t="inlineStr">
        <is>
          <t>OPS-02</t>
        </is>
      </c>
      <c r="E74" s="11" t="inlineStr">
        <is>
          <t>Deployment/Ops</t>
        </is>
      </c>
      <c r="F74" s="11" t="inlineStr">
        <is>
          <t>CI + end-to-end test</t>
        </is>
      </c>
      <c r="G74" s="12" t="inlineStr">
        <is>
          <t>COMPLETED</t>
        </is>
      </c>
      <c r="H74" s="13" t="n">
        <v>0.7</v>
      </c>
      <c r="I74" s="11" t="inlineStr"/>
      <c r="J74" s="11" t="inlineStr">
        <is>
          <t>Live (ATIP-W24-RC1)</t>
        </is>
      </c>
      <c r="K74" s="11" t="inlineStr"/>
      <c r="L74" s="11" t="inlineStr">
        <is>
          <t>GitHub Actions; ~270 test functions; no E2E</t>
        </is>
      </c>
      <c r="M74" s="11" t="inlineStr">
        <is>
          <t>Add E2E pipeline test</t>
        </is>
      </c>
      <c r="N74" s="11" t="inlineStr">
        <is>
          <t>.github/workflows/tests.yml; tests/</t>
        </is>
      </c>
      <c r="O74" s="11" t="inlineStr">
        <is>
          <t>EX-01</t>
        </is>
      </c>
      <c r="P74" s="11" t="inlineStr">
        <is>
          <t>2026-09-24</t>
        </is>
      </c>
      <c r="Q74" s="14" t="inlineStr"/>
      <c r="R74" s="14" t="inlineStr"/>
    </row>
    <row r="75">
      <c r="A75" s="11" t="n">
        <v>74</v>
      </c>
      <c r="B75" s="11" t="n">
        <v>1</v>
      </c>
      <c r="C75" s="11" t="inlineStr">
        <is>
          <t>Foundation</t>
        </is>
      </c>
      <c r="D75" s="11" t="inlineStr">
        <is>
          <t>DP-15</t>
        </is>
      </c>
      <c r="E75" s="11" t="inlineStr">
        <is>
          <t>Data Platform</t>
        </is>
      </c>
      <c r="F75" s="11" t="inlineStr">
        <is>
          <t>Fundamentals</t>
        </is>
      </c>
      <c r="G75" s="15" t="inlineStr">
        <is>
          <t>IN PROGRESS</t>
        </is>
      </c>
      <c r="H75" s="13" t="n">
        <v>0.3</v>
      </c>
      <c r="I75" s="11" t="inlineStr"/>
      <c r="J75" s="11" t="inlineStr">
        <is>
          <t>—</t>
        </is>
      </c>
      <c r="K75" s="11" t="inlineStr">
        <is>
          <t>Owner: Enable fundamentals ingestion (Screener.in)</t>
        </is>
      </c>
      <c r="L75" s="11" t="inlineStr">
        <is>
          <t>Screener.in fetcher; ingestion disabled</t>
        </is>
      </c>
      <c r="M75" s="11" t="inlineStr">
        <is>
          <t>Your decision; enable; quarterly store; no 50.0 default</t>
        </is>
      </c>
      <c r="N75" s="11" t="inlineStr">
        <is>
          <t>data/fundamentals.py; pipeline/scheduler.py</t>
        </is>
      </c>
      <c r="O75" s="11" t="inlineStr"/>
      <c r="P75" s="11" t="inlineStr">
        <is>
          <t>2026-09-24</t>
        </is>
      </c>
      <c r="Q75" s="14" t="inlineStr"/>
      <c r="R75" s="14" t="inlineStr"/>
    </row>
    <row r="76">
      <c r="A76" s="11" t="n">
        <v>75</v>
      </c>
      <c r="B76" s="11" t="n">
        <v>1</v>
      </c>
      <c r="C76" s="11" t="inlineStr">
        <is>
          <t>Foundation</t>
        </is>
      </c>
      <c r="D76" s="11" t="inlineStr">
        <is>
          <t>SC-13</t>
        </is>
      </c>
      <c r="E76" s="11" t="inlineStr">
        <is>
          <t>Alpha/Factor Engine</t>
        </is>
      </c>
      <c r="F76" s="11" t="inlineStr">
        <is>
          <t>Fundamental Score</t>
        </is>
      </c>
      <c r="G76" s="15" t="inlineStr">
        <is>
          <t>IN PROGRESS</t>
        </is>
      </c>
      <c r="H76" s="13" t="n">
        <v>0.2</v>
      </c>
      <c r="I76" s="11" t="inlineStr"/>
      <c r="J76" s="11" t="inlineStr">
        <is>
          <t>—</t>
        </is>
      </c>
      <c r="K76" s="11" t="inlineStr">
        <is>
          <t>Development</t>
        </is>
      </c>
      <c r="L76" s="11" t="inlineStr">
        <is>
          <t>Default 50 when unparsed</t>
        </is>
      </c>
      <c r="M76" s="11" t="inlineStr">
        <is>
          <t>Implement FS formula on real data</t>
        </is>
      </c>
      <c r="N76" s="11" t="inlineStr">
        <is>
          <t>data/fundamentals.py</t>
        </is>
      </c>
      <c r="O76" s="11" t="inlineStr">
        <is>
          <t>DP-15</t>
        </is>
      </c>
      <c r="P76" s="11" t="inlineStr">
        <is>
          <t>2026-09-24</t>
        </is>
      </c>
      <c r="Q76" s="14" t="inlineStr"/>
      <c r="R76" s="14" t="inlineStr"/>
    </row>
    <row r="77">
      <c r="A77" s="11" t="n">
        <v>76</v>
      </c>
      <c r="B77" s="11" t="n">
        <v>1</v>
      </c>
      <c r="C77" s="11" t="inlineStr">
        <is>
          <t>Foundation</t>
        </is>
      </c>
      <c r="D77" s="11" t="inlineStr">
        <is>
          <t>SC-02</t>
        </is>
      </c>
      <c r="E77" s="11" t="inlineStr">
        <is>
          <t>Alpha/Factor Engine</t>
        </is>
      </c>
      <c r="F77" s="11" t="inlineStr">
        <is>
          <t>SPI</t>
        </is>
      </c>
      <c r="G77" s="15" t="inlineStr">
        <is>
          <t>IN PROGRESS</t>
        </is>
      </c>
      <c r="H77" s="13" t="n">
        <v>0.3</v>
      </c>
      <c r="I77" s="11" t="inlineStr"/>
      <c r="J77" s="11" t="inlineStr">
        <is>
          <t>—</t>
        </is>
      </c>
      <c r="K77" s="11" t="inlineStr">
        <is>
          <t>Development</t>
        </is>
      </c>
      <c r="L77" s="11">
        <f> fundamental_score (double-weighted)</f>
        <v/>
      </c>
      <c r="M77" s="11" t="inlineStr">
        <is>
          <t>Implement SPI formula separately from FS</t>
        </is>
      </c>
      <c r="N77" s="11" t="inlineStr">
        <is>
          <t>scores/engine.py</t>
        </is>
      </c>
      <c r="O77" s="11" t="inlineStr">
        <is>
          <t>SC-13</t>
        </is>
      </c>
      <c r="P77" s="11" t="inlineStr">
        <is>
          <t>2026-09-24</t>
        </is>
      </c>
      <c r="Q77" s="14" t="inlineStr"/>
      <c r="R77" s="14" t="inlineStr"/>
    </row>
    <row r="78">
      <c r="A78" s="11" t="n">
        <v>77</v>
      </c>
      <c r="B78" s="11" t="n">
        <v>1</v>
      </c>
      <c r="C78" s="11" t="inlineStr">
        <is>
          <t>Foundation</t>
        </is>
      </c>
      <c r="D78" s="11" t="inlineStr">
        <is>
          <t>SC-05</t>
        </is>
      </c>
      <c r="E78" s="11" t="inlineStr">
        <is>
          <t>Alpha/Factor Engine</t>
        </is>
      </c>
      <c r="F78" s="11" t="inlineStr">
        <is>
          <t>CRI debt input</t>
        </is>
      </c>
      <c r="G78" s="12" t="inlineStr">
        <is>
          <t>COMPLETED</t>
        </is>
      </c>
      <c r="H78" s="13" t="n">
        <v>0.75</v>
      </c>
      <c r="I78" s="11" t="inlineStr"/>
      <c r="J78" s="11" t="inlineStr">
        <is>
          <t>Live (ATIP-W24-RC1)</t>
        </is>
      </c>
      <c r="K78" s="11" t="inlineStr"/>
      <c r="L78" s="11" t="inlineStr">
        <is>
          <t>Implemented; Debt input missing</t>
        </is>
      </c>
      <c r="M78" s="11" t="inlineStr">
        <is>
          <t>Feed Debt/Equity</t>
        </is>
      </c>
      <c r="N78" s="11" t="inlineStr">
        <is>
          <t>scores/engine.py</t>
        </is>
      </c>
      <c r="O78" s="11" t="inlineStr">
        <is>
          <t>DP-15</t>
        </is>
      </c>
      <c r="P78" s="11" t="inlineStr">
        <is>
          <t>2026-09-24</t>
        </is>
      </c>
      <c r="Q78" s="14" t="inlineStr"/>
      <c r="R78" s="14" t="inlineStr"/>
    </row>
    <row r="79">
      <c r="A79" s="11" t="n">
        <v>78</v>
      </c>
      <c r="B79" s="11" t="n">
        <v>1</v>
      </c>
      <c r="C79" s="11" t="inlineStr">
        <is>
          <t>Foundation</t>
        </is>
      </c>
      <c r="D79" s="11" t="inlineStr">
        <is>
          <t>SC-01</t>
        </is>
      </c>
      <c r="E79" s="11" t="inlineStr">
        <is>
          <t>Alpha/Factor Engine</t>
        </is>
      </c>
      <c r="F79" s="11" t="inlineStr">
        <is>
          <t>VPI inputs</t>
        </is>
      </c>
      <c r="G79" s="12" t="inlineStr">
        <is>
          <t>COMPLETED</t>
        </is>
      </c>
      <c r="H79" s="13" t="n">
        <v>0.8</v>
      </c>
      <c r="I79" s="11" t="inlineStr"/>
      <c r="J79" s="11" t="inlineStr">
        <is>
          <t>Live (ATIP-W24-RC1)</t>
        </is>
      </c>
      <c r="K79" s="11" t="inlineStr"/>
      <c r="L79" s="11" t="inlineStr">
        <is>
          <t>Implemented; FG/IS inputs weak</t>
        </is>
      </c>
      <c r="M79" s="11" t="inlineStr">
        <is>
          <t>Real Fundamental Growth input</t>
        </is>
      </c>
      <c r="N79" s="11" t="inlineStr">
        <is>
          <t>scores/engine.py</t>
        </is>
      </c>
      <c r="O79" s="11" t="inlineStr">
        <is>
          <t>DP-15</t>
        </is>
      </c>
      <c r="P79" s="11" t="inlineStr">
        <is>
          <t>2026-09-24</t>
        </is>
      </c>
      <c r="Q79" s="14" t="inlineStr"/>
      <c r="R79" s="14" t="inlineStr"/>
    </row>
    <row r="80">
      <c r="A80" s="11" t="n">
        <v>79</v>
      </c>
      <c r="B80" s="11" t="n">
        <v>1</v>
      </c>
      <c r="C80" s="11" t="inlineStr">
        <is>
          <t>Foundation</t>
        </is>
      </c>
      <c r="D80" s="11" t="inlineStr">
        <is>
          <t>PF-01</t>
        </is>
      </c>
      <c r="E80" s="11" t="inlineStr">
        <is>
          <t>Portfolio</t>
        </is>
      </c>
      <c r="F80" s="11" t="inlineStr">
        <is>
          <t>Portfolio ingestion</t>
        </is>
      </c>
      <c r="G80" s="12" t="inlineStr">
        <is>
          <t>COMPLETED</t>
        </is>
      </c>
      <c r="H80" s="13" t="n">
        <v>0.8</v>
      </c>
      <c r="I80" s="11" t="inlineStr"/>
      <c r="J80" s="11" t="inlineStr">
        <is>
          <t>Live (ATIP-W24-RC1)</t>
        </is>
      </c>
      <c r="K80" s="11" t="inlineStr"/>
      <c r="L80" s="11" t="inlineStr">
        <is>
          <t>portfolio_sync records each attempt and reason (DH-901 named); qty/avg update; sold removed</t>
        </is>
      </c>
      <c r="M80" s="11" t="inlineStr">
        <is>
          <t>Scheduled reliable sync + token handling</t>
        </is>
      </c>
      <c r="N80" s="11" t="inlineStr">
        <is>
          <t>data/dhan.py; portfolio/zerodha.py</t>
        </is>
      </c>
      <c r="O80" s="11" t="inlineStr"/>
      <c r="P80" s="11" t="inlineStr">
        <is>
          <t>2026-09-24</t>
        </is>
      </c>
      <c r="Q80" s="14" t="inlineStr"/>
      <c r="R80" s="14" t="inlineStr"/>
    </row>
    <row r="81">
      <c r="A81" s="11" t="n">
        <v>80</v>
      </c>
      <c r="B81" s="11" t="n">
        <v>1</v>
      </c>
      <c r="C81" s="11" t="inlineStr">
        <is>
          <t>Foundation</t>
        </is>
      </c>
      <c r="D81" s="11" t="inlineStr">
        <is>
          <t>BR-04</t>
        </is>
      </c>
      <c r="E81" s="11" t="inlineStr">
        <is>
          <t>Broker Integration</t>
        </is>
      </c>
      <c r="F81" s="11" t="inlineStr">
        <is>
          <t>Portfolio sync schedule</t>
        </is>
      </c>
      <c r="G81" s="12" t="inlineStr">
        <is>
          <t>COMPLETED</t>
        </is>
      </c>
      <c r="H81" s="13" t="n">
        <v>0.8</v>
      </c>
      <c r="I81" s="11" t="inlineStr"/>
      <c r="J81" s="11" t="inlineStr">
        <is>
          <t>Live (ATIP-W24-RC1)</t>
        </is>
      </c>
      <c r="K81" s="11" t="inlineStr"/>
      <c r="L81" s="11" t="inlineStr">
        <is>
          <t>Morning catch-up re-sync; Zerodha SKIPPED when not connected; health expects SUCCESS</t>
        </is>
      </c>
      <c r="M81" s="11" t="inlineStr">
        <is>
          <t>Scheduled sync with alert on failure</t>
        </is>
      </c>
      <c r="N81" s="11" t="inlineStr">
        <is>
          <t>pipeline/scheduler.py; pipeline/health.py</t>
        </is>
      </c>
      <c r="O81" s="11" t="inlineStr">
        <is>
          <t>PF-01</t>
        </is>
      </c>
      <c r="P81" s="11" t="inlineStr">
        <is>
          <t>2026-09-24</t>
        </is>
      </c>
      <c r="Q81" s="14" t="inlineStr"/>
      <c r="R81" s="14" t="inlineStr"/>
    </row>
    <row r="82">
      <c r="A82" s="11" t="n">
        <v>81</v>
      </c>
      <c r="B82" s="11" t="n">
        <v>1</v>
      </c>
      <c r="C82" s="11" t="inlineStr">
        <is>
          <t>Foundation</t>
        </is>
      </c>
      <c r="D82" s="11" t="inlineStr">
        <is>
          <t>PF-02</t>
        </is>
      </c>
      <c r="E82" s="11" t="inlineStr">
        <is>
          <t>Portfolio</t>
        </is>
      </c>
      <c r="F82" s="11" t="inlineStr">
        <is>
          <t>Holdings &amp; P&amp;L</t>
        </is>
      </c>
      <c r="G82" s="12" t="inlineStr">
        <is>
          <t>COMPLETED</t>
        </is>
      </c>
      <c r="H82" s="13" t="n">
        <v>0.8</v>
      </c>
      <c r="I82" s="11" t="inlineStr"/>
      <c r="J82" s="11" t="inlineStr">
        <is>
          <t>Live (ATIP-W24-RC1)</t>
        </is>
      </c>
      <c r="K82" s="11" t="inlineStr"/>
      <c r="L82" s="11" t="inlineStr">
        <is>
          <t>portfolio/pnl.py PAPER + LIVE books marked to market; /api/pnl</t>
        </is>
      </c>
      <c r="M82" s="11" t="inlineStr">
        <is>
          <t>Realised + unrealised P&amp;L</t>
        </is>
      </c>
      <c r="N82" s="11" t="inlineStr">
        <is>
          <t>portfolio/pnl.py; dashboard/server.py</t>
        </is>
      </c>
      <c r="O82" s="11" t="inlineStr">
        <is>
          <t>PF-01</t>
        </is>
      </c>
      <c r="P82" s="11" t="inlineStr">
        <is>
          <t>2026-09-24</t>
        </is>
      </c>
      <c r="Q82" s="14" t="inlineStr"/>
      <c r="R82" s="14" t="inlineStr"/>
    </row>
    <row r="83">
      <c r="A83" s="11" t="n">
        <v>82</v>
      </c>
      <c r="B83" s="11" t="n">
        <v>1</v>
      </c>
      <c r="C83" s="11" t="inlineStr">
        <is>
          <t>Foundation</t>
        </is>
      </c>
      <c r="D83" s="11" t="inlineStr">
        <is>
          <t>PF-13</t>
        </is>
      </c>
      <c r="E83" s="11" t="inlineStr">
        <is>
          <t>Portfolio</t>
        </is>
      </c>
      <c r="F83" s="11" t="inlineStr">
        <is>
          <t>Daily P&amp;L series</t>
        </is>
      </c>
      <c r="G83" s="12" t="inlineStr">
        <is>
          <t>COMPLETED</t>
        </is>
      </c>
      <c r="H83" s="13" t="n">
        <v>0.85</v>
      </c>
      <c r="I83" s="11" t="inlineStr"/>
      <c r="J83" s="11" t="inlineStr">
        <is>
          <t>Live (ATIP-W24-RC1)</t>
        </is>
      </c>
      <c r="K83" s="11" t="inlineStr"/>
      <c r="L83" s="11" t="inlineStr">
        <is>
          <t>pnl_daily equity/day P&amp;L/peak/drawdown per env; post-market daily_pnl job</t>
        </is>
      </c>
      <c r="M83" s="11" t="inlineStr">
        <is>
          <t>Daily P&amp;L table; EOD job</t>
        </is>
      </c>
      <c r="N83" s="11" t="inlineStr">
        <is>
          <t>portfolio/pnl.py; db/schema.py</t>
        </is>
      </c>
      <c r="O83" s="11" t="inlineStr">
        <is>
          <t>PF-02</t>
        </is>
      </c>
      <c r="P83" s="11" t="inlineStr">
        <is>
          <t>2026-09-24</t>
        </is>
      </c>
      <c r="Q83" s="14" t="inlineStr"/>
      <c r="R83" s="14" t="inlineStr"/>
    </row>
    <row r="84">
      <c r="A84" s="11" t="n">
        <v>83</v>
      </c>
      <c r="B84" s="11" t="n">
        <v>1</v>
      </c>
      <c r="C84" s="11" t="inlineStr">
        <is>
          <t>Foundation</t>
        </is>
      </c>
      <c r="D84" s="11" t="inlineStr">
        <is>
          <t>RK-13</t>
        </is>
      </c>
      <c r="E84" s="11" t="inlineStr">
        <is>
          <t>Risk Management</t>
        </is>
      </c>
      <c r="F84" s="11" t="inlineStr">
        <is>
          <t>Risk-based sizing wired to orders</t>
        </is>
      </c>
      <c r="G84" s="12" t="inlineStr">
        <is>
          <t>COMPLETED</t>
        </is>
      </c>
      <c r="H84" s="13" t="n">
        <v>0.85</v>
      </c>
      <c r="I84" s="11" t="inlineStr"/>
      <c r="J84" s="11" t="inlineStr">
        <is>
          <t>Live (ATIP-W24-RC1)</t>
        </is>
      </c>
      <c r="K84" s="11" t="inlineStr"/>
      <c r="L84" s="11" t="inlineStr">
        <is>
          <t>size_position() pure + size_for_account(); quantity_type RISK in order rules</t>
        </is>
      </c>
      <c r="M84" s="11" t="inlineStr">
        <is>
          <t>Use size in order path</t>
        </is>
      </c>
      <c r="N84" s="11" t="inlineStr">
        <is>
          <t>orders/risk.py; orders/rules.py</t>
        </is>
      </c>
      <c r="O84" s="11" t="inlineStr"/>
      <c r="P84" s="11" t="inlineStr">
        <is>
          <t>2026-09-24</t>
        </is>
      </c>
      <c r="Q84" s="14" t="inlineStr"/>
      <c r="R84" s="14" t="inlineStr"/>
    </row>
    <row r="85">
      <c r="A85" s="11" t="n">
        <v>84</v>
      </c>
      <c r="B85" s="11" t="n">
        <v>1</v>
      </c>
      <c r="C85" s="11" t="inlineStr">
        <is>
          <t>Foundation</t>
        </is>
      </c>
      <c r="D85" s="11" t="inlineStr">
        <is>
          <t>RK-07</t>
        </is>
      </c>
      <c r="E85" s="11" t="inlineStr">
        <is>
          <t>Risk Management</t>
        </is>
      </c>
      <c r="F85" s="11" t="inlineStr">
        <is>
          <t>Daily loss limit</t>
        </is>
      </c>
      <c r="G85" s="12" t="inlineStr">
        <is>
          <t>COMPLETED</t>
        </is>
      </c>
      <c r="H85" s="13" t="n">
        <v>0.85</v>
      </c>
      <c r="I85" s="11" t="inlineStr"/>
      <c r="J85" s="11" t="inlineStr">
        <is>
          <t>Live (ATIP-W24-RC1)</t>
        </is>
      </c>
      <c r="K85" s="11" t="inlineStr"/>
      <c r="L85" s="11" t="inlineStr">
        <is>
          <t>max_daily_loss_value blocks BUYs; unmeasurable blocks</t>
        </is>
      </c>
      <c r="M85" s="11" t="inlineStr">
        <is>
          <t>Limit on PF-13; auto-halt</t>
        </is>
      </c>
      <c r="N85" s="11" t="inlineStr">
        <is>
          <t>orders/risk.py</t>
        </is>
      </c>
      <c r="O85" s="11" t="inlineStr">
        <is>
          <t>PF-13</t>
        </is>
      </c>
      <c r="P85" s="11" t="inlineStr">
        <is>
          <t>2026-09-24</t>
        </is>
      </c>
      <c r="Q85" s="14" t="inlineStr"/>
      <c r="R85" s="14" t="inlineStr"/>
    </row>
    <row r="86">
      <c r="A86" s="11" t="n">
        <v>85</v>
      </c>
      <c r="B86" s="11" t="n">
        <v>1</v>
      </c>
      <c r="C86" s="11" t="inlineStr">
        <is>
          <t>Foundation</t>
        </is>
      </c>
      <c r="D86" s="11" t="inlineStr">
        <is>
          <t>RK-08</t>
        </is>
      </c>
      <c r="E86" s="11" t="inlineStr">
        <is>
          <t>Risk Management</t>
        </is>
      </c>
      <c r="F86" s="11" t="inlineStr">
        <is>
          <t>Drawdown limit</t>
        </is>
      </c>
      <c r="G86" s="12" t="inlineStr">
        <is>
          <t>COMPLETED</t>
        </is>
      </c>
      <c r="H86" s="13" t="n">
        <v>0.85</v>
      </c>
      <c r="I86" s="11" t="inlineStr"/>
      <c r="J86" s="11" t="inlineStr">
        <is>
          <t>Live (ATIP-W24-RC1)</t>
        </is>
      </c>
      <c r="K86" s="11" t="inlineStr"/>
      <c r="L86" s="11" t="inlineStr">
        <is>
          <t>max_drawdown_pct blocks BUYs; unmeasurable blocks</t>
        </is>
      </c>
      <c r="M86" s="11" t="inlineStr">
        <is>
          <t>Peak-to-trough on PF-13; auto-halt</t>
        </is>
      </c>
      <c r="N86" s="11" t="inlineStr">
        <is>
          <t>orders/risk.py</t>
        </is>
      </c>
      <c r="O86" s="11" t="inlineStr">
        <is>
          <t>PF-13</t>
        </is>
      </c>
      <c r="P86" s="11" t="inlineStr">
        <is>
          <t>2026-09-24</t>
        </is>
      </c>
      <c r="Q86" s="14" t="inlineStr"/>
      <c r="R86" s="14" t="inlineStr"/>
    </row>
    <row r="87">
      <c r="A87" s="11" t="n">
        <v>86</v>
      </c>
      <c r="B87" s="11" t="n">
        <v>1</v>
      </c>
      <c r="C87" s="11" t="inlineStr">
        <is>
          <t>Foundation</t>
        </is>
      </c>
      <c r="D87" s="11" t="inlineStr">
        <is>
          <t>DBS-03</t>
        </is>
      </c>
      <c r="E87" s="11" t="inlineStr">
        <is>
          <t>Database</t>
        </is>
      </c>
      <c r="F87" s="11" t="inlineStr">
        <is>
          <t>Backups</t>
        </is>
      </c>
      <c r="G87" s="12" t="inlineStr">
        <is>
          <t>COMPLETED</t>
        </is>
      </c>
      <c r="H87" s="13" t="n">
        <v>0.85</v>
      </c>
      <c r="I87" s="11" t="inlineStr"/>
      <c r="J87" s="11" t="inlineStr">
        <is>
          <t>Live (ATIP-W24-RC1)</t>
        </is>
      </c>
      <c r="K87" s="11" t="inlineStr"/>
      <c r="L87" s="11" t="inlineStr">
        <is>
          <t>ops/backup.py: daily online SQLite backup (19:15) VERIFIED by integrity_check + key-table counts + sha256 (ops_backup); 7 daily + 4 weekly retention of its own files only; restore to a NEW file; python -m ops backup/restore/verify</t>
        </is>
      </c>
      <c r="M87" s="11" t="inlineStr">
        <is>
          <t>Off-machine copy of backups; restore drill</t>
        </is>
      </c>
      <c r="N87" s="11" t="inlineStr">
        <is>
          <t>ops/backup.py; docs/BACKUP_RESTORE.md</t>
        </is>
      </c>
      <c r="O87" s="11" t="inlineStr"/>
      <c r="P87" s="11" t="inlineStr">
        <is>
          <t>2026-09-25</t>
        </is>
      </c>
      <c r="Q87" s="14" t="inlineStr"/>
      <c r="R87" s="14" t="inlineStr"/>
    </row>
    <row r="88">
      <c r="A88" s="11" t="n">
        <v>87</v>
      </c>
      <c r="B88" s="11" t="n">
        <v>1</v>
      </c>
      <c r="C88" s="11" t="inlineStr">
        <is>
          <t>Foundation</t>
        </is>
      </c>
      <c r="D88" s="11" t="inlineStr">
        <is>
          <t>DP-06</t>
        </is>
      </c>
      <c r="E88" s="11" t="inlineStr">
        <is>
          <t>Data Platform</t>
        </is>
      </c>
      <c r="F88" s="11" t="inlineStr">
        <is>
          <t>Corporate actions open items</t>
        </is>
      </c>
      <c r="G88" s="12" t="inlineStr">
        <is>
          <t>COMPLETED</t>
        </is>
      </c>
      <c r="H88" s="13" t="n">
        <v>0.85</v>
      </c>
      <c r="I88" s="11" t="inlineStr"/>
      <c r="J88" s="11" t="inlineStr">
        <is>
          <t>Live (ATIP-W24-RC1)</t>
        </is>
      </c>
      <c r="K88" s="11" t="inlineStr"/>
      <c r="L88" s="11" t="inlineStr">
        <is>
          <t>NSE CA calendar; reconciliation; volume re-base</t>
        </is>
      </c>
      <c r="M88" s="11" t="inlineStr">
        <is>
          <t>TVSMOTOR scheme; renamed symbols</t>
        </is>
      </c>
      <c r="N88" s="11" t="inlineStr">
        <is>
          <t>data/corporate_actions.py</t>
        </is>
      </c>
      <c r="O88" s="11" t="inlineStr"/>
      <c r="P88" s="11" t="inlineStr">
        <is>
          <t>2026-09-24</t>
        </is>
      </c>
      <c r="Q88" s="14" t="inlineStr"/>
      <c r="R88" s="14" t="inlineStr"/>
    </row>
    <row r="89">
      <c r="A89" s="11" t="n">
        <v>88</v>
      </c>
      <c r="B89" s="11" t="n">
        <v>1</v>
      </c>
      <c r="C89" s="11" t="inlineStr">
        <is>
          <t>Foundation</t>
        </is>
      </c>
      <c r="D89" s="11" t="inlineStr">
        <is>
          <t>TA-06</t>
        </is>
      </c>
      <c r="E89" s="11" t="inlineStr">
        <is>
          <t>Technical Analysis</t>
        </is>
      </c>
      <c r="F89" s="11" t="inlineStr">
        <is>
          <t>Support/Resistance</t>
        </is>
      </c>
      <c r="G89" s="16" t="inlineStr">
        <is>
          <t>IMPLEMENTED BUT NOT VERIFIED</t>
        </is>
      </c>
      <c r="H89" s="13" t="n">
        <v>0.8</v>
      </c>
      <c r="I89" s="11" t="inlineStr">
        <is>
          <t>W21</t>
        </is>
      </c>
      <c r="J89" s="11" t="inlineStr">
        <is>
          <t>Live (ATIP-W24-RC1)</t>
        </is>
      </c>
      <c r="K89" s="11" t="inlineStr">
        <is>
          <t>Independent QA</t>
        </is>
      </c>
      <c r="L89" s="11" t="inlineStr">
        <is>
          <t>W21: fractal pivots over 120 sessions, mean-anchored clusters, nearest confirmed support/resistance with touches and distance</t>
        </is>
      </c>
      <c r="M89" s="11" t="inlineStr">
        <is>
          <t>QA; optionally feed the Technical Score SR component</t>
        </is>
      </c>
      <c r="N89" s="11" t="inlineStr">
        <is>
          <t>data/technical_ext.py</t>
        </is>
      </c>
      <c r="O89" s="11" t="inlineStr"/>
      <c r="P89" s="11" t="inlineStr">
        <is>
          <t>2026-09-27</t>
        </is>
      </c>
      <c r="Q89" s="14" t="inlineStr"/>
      <c r="R89" s="14" t="inlineStr"/>
    </row>
    <row r="90">
      <c r="A90" s="11" t="n">
        <v>89</v>
      </c>
      <c r="B90" s="11" t="n">
        <v>1</v>
      </c>
      <c r="C90" s="11" t="inlineStr">
        <is>
          <t>Foundation</t>
        </is>
      </c>
      <c r="D90" s="11" t="inlineStr">
        <is>
          <t>DP-19</t>
        </is>
      </c>
      <c r="E90" s="11" t="inlineStr">
        <is>
          <t>Data Platform</t>
        </is>
      </c>
      <c r="F90" s="11" t="inlineStr">
        <is>
          <t>Data quality layer</t>
        </is>
      </c>
      <c r="G90" s="12" t="inlineStr">
        <is>
          <t>COMPLETED</t>
        </is>
      </c>
      <c r="H90" s="13" t="n">
        <v>0.85</v>
      </c>
      <c r="I90" s="11" t="inlineStr"/>
      <c r="J90" s="11" t="inlineStr">
        <is>
          <t>Live (ATIP-W24-RC1)</t>
        </is>
      </c>
      <c r="K90" s="11" t="inlineStr"/>
      <c r="L90" s="11" t="inlineStr">
        <is>
          <t>data/quality.py 12 checks + DQS per session; data_quality table; post-market; alert</t>
        </is>
      </c>
      <c r="M90" s="11" t="inlineStr">
        <is>
          <t>DQS table; outlier and timestamp checks</t>
        </is>
      </c>
      <c r="N90" s="11" t="inlineStr">
        <is>
          <t>data/quality.py; pipeline/scheduler.py</t>
        </is>
      </c>
      <c r="O90" s="11" t="inlineStr">
        <is>
          <t>MON-01</t>
        </is>
      </c>
      <c r="P90" s="11" t="inlineStr">
        <is>
          <t>2026-09-24</t>
        </is>
      </c>
      <c r="Q90" s="14" t="inlineStr"/>
      <c r="R90" s="14" t="inlineStr"/>
    </row>
    <row r="91">
      <c r="A91" s="11" t="n">
        <v>90</v>
      </c>
      <c r="B91" s="11" t="n">
        <v>2</v>
      </c>
      <c r="C91" s="11" t="inlineStr">
        <is>
          <t>Quant Research (data, factors, backtesting)</t>
        </is>
      </c>
      <c r="D91" s="11" t="inlineStr">
        <is>
          <t>DBS-04</t>
        </is>
      </c>
      <c r="E91" s="11" t="inlineStr">
        <is>
          <t>Database</t>
        </is>
      </c>
      <c r="F91" s="11" t="inlineStr">
        <is>
          <t>Schema migrations</t>
        </is>
      </c>
      <c r="G91" s="12" t="inlineStr">
        <is>
          <t>COMPLETED</t>
        </is>
      </c>
      <c r="H91" s="13" t="n">
        <v>0.8</v>
      </c>
      <c r="I91" s="11" t="inlineStr"/>
      <c r="J91" s="11" t="inlineStr">
        <is>
          <t>Live (ATIP-W24-RC1)</t>
        </is>
      </c>
      <c r="K91" s="11" t="inlineStr"/>
      <c r="L91" s="11" t="inlineStr">
        <is>
          <t>schema_migrations (version, checksum, applied_at, duration, status, rollback note); 0001 baseline, 0002 W8 tables, 0003 indexes, 0004 append-only audit triggers; drift detection; additive layer now runs once per process (W7-R8)</t>
        </is>
      </c>
      <c r="M91" s="11" t="inlineStr">
        <is>
          <t>Down-migration scripts beyond rollback notes (policy: restore pre-release backup)</t>
        </is>
      </c>
      <c r="N91" s="11" t="inlineStr">
        <is>
          <t>ops/migrations.py; db/schema.py</t>
        </is>
      </c>
      <c r="O91" s="11" t="inlineStr"/>
      <c r="P91" s="11" t="inlineStr">
        <is>
          <t>2026-09-25</t>
        </is>
      </c>
      <c r="Q91" s="14" t="inlineStr"/>
      <c r="R91" s="14" t="inlineStr"/>
    </row>
    <row r="92">
      <c r="A92" s="11" t="n">
        <v>91</v>
      </c>
      <c r="B92" s="11" t="n">
        <v>2</v>
      </c>
      <c r="C92" s="11" t="inlineStr">
        <is>
          <t>Quant Research (data, factors, backtesting)</t>
        </is>
      </c>
      <c r="D92" s="11" t="inlineStr">
        <is>
          <t>DP-01</t>
        </is>
      </c>
      <c r="E92" s="11" t="inlineStr">
        <is>
          <t>Data Platform</t>
        </is>
      </c>
      <c r="F92" s="11" t="inlineStr">
        <is>
          <t>Live market data</t>
        </is>
      </c>
      <c r="G92" s="15" t="inlineStr">
        <is>
          <t>IN PROGRESS</t>
        </is>
      </c>
      <c r="H92" s="13" t="n">
        <v>0.6</v>
      </c>
      <c r="I92" s="11" t="inlineStr"/>
      <c r="J92" s="11" t="inlineStr">
        <is>
          <t>—</t>
        </is>
      </c>
      <c r="K92" s="11" t="inlineStr">
        <is>
          <t>Development</t>
        </is>
      </c>
      <c r="L92" s="11" t="inlineStr">
        <is>
          <t>Index WebSocket 09:00-15:45 + quote cache; stock tick feed never run</t>
        </is>
      </c>
      <c r="M92" s="11" t="inlineStr">
        <is>
          <t>Stock-level live feed in production; failover</t>
        </is>
      </c>
      <c r="N92" s="11" t="inlineStr">
        <is>
          <t>data/dhan_ws.py; data/dhan.py</t>
        </is>
      </c>
      <c r="O92" s="11" t="inlineStr"/>
      <c r="P92" s="11" t="inlineStr">
        <is>
          <t>2026-09-24</t>
        </is>
      </c>
      <c r="Q92" s="14" t="inlineStr"/>
      <c r="R92" s="14" t="inlineStr"/>
    </row>
    <row r="93">
      <c r="A93" s="11" t="n">
        <v>92</v>
      </c>
      <c r="B93" s="11" t="n">
        <v>2</v>
      </c>
      <c r="C93" s="11" t="inlineStr">
        <is>
          <t>Quant Research (data, factors, backtesting)</t>
        </is>
      </c>
      <c r="D93" s="11" t="inlineStr">
        <is>
          <t>DP-03</t>
        </is>
      </c>
      <c r="E93" s="11" t="inlineStr">
        <is>
          <t>Data Platform</t>
        </is>
      </c>
      <c r="F93" s="11" t="inlineStr">
        <is>
          <t>Intraday bars</t>
        </is>
      </c>
      <c r="G93" s="16" t="inlineStr">
        <is>
          <t>IMPLEMENTED BUT NOT VERIFIED</t>
        </is>
      </c>
      <c r="H93" s="13" t="n">
        <v>0.85</v>
      </c>
      <c r="I93" s="11" t="inlineStr">
        <is>
          <t>W21</t>
        </is>
      </c>
      <c r="J93" s="11" t="inlineStr">
        <is>
          <t>Live (ATIP-W24-RC1)</t>
        </is>
      </c>
      <c r="K93" s="11" t="inlineStr">
        <is>
          <t>Independent QA</t>
        </is>
      </c>
      <c r="L93" s="11" t="inlineStr">
        <is>
          <t>W21: intraday_bars stores the 30-min job's 15-min bars (was discarded); 90-day retention</t>
        </is>
      </c>
      <c r="M93" s="11" t="inlineStr">
        <is>
          <t>QA; consider 5-min bars for session VWAP</t>
        </is>
      </c>
      <c r="N93" s="11" t="inlineStr">
        <is>
          <t>data/dhan.py; db/schema.py; db/purge.py</t>
        </is>
      </c>
      <c r="O93" s="11" t="inlineStr">
        <is>
          <t>DBS-04</t>
        </is>
      </c>
      <c r="P93" s="11" t="inlineStr">
        <is>
          <t>2026-09-27</t>
        </is>
      </c>
      <c r="Q93" s="14" t="inlineStr"/>
      <c r="R93" s="14" t="inlineStr"/>
    </row>
    <row r="94">
      <c r="A94" s="11" t="n">
        <v>93</v>
      </c>
      <c r="B94" s="11" t="n">
        <v>2</v>
      </c>
      <c r="C94" s="11" t="inlineStr">
        <is>
          <t>Quant Research (data, factors, backtesting)</t>
        </is>
      </c>
      <c r="D94" s="11" t="inlineStr">
        <is>
          <t>TA-03</t>
        </is>
      </c>
      <c r="E94" s="11" t="inlineStr">
        <is>
          <t>Technical Analysis</t>
        </is>
      </c>
      <c r="F94" s="11" t="inlineStr">
        <is>
          <t>VWAP</t>
        </is>
      </c>
      <c r="G94" s="16" t="inlineStr">
        <is>
          <t>IMPLEMENTED BUT NOT VERIFIED</t>
        </is>
      </c>
      <c r="H94" s="13" t="n">
        <v>0.8</v>
      </c>
      <c r="I94" s="11" t="inlineStr">
        <is>
          <t>W21</t>
        </is>
      </c>
      <c r="J94" s="11" t="inlineStr">
        <is>
          <t>Live (ATIP-W24-RC1)</t>
        </is>
      </c>
      <c r="K94" s="11" t="inlineStr">
        <is>
          <t>Independent QA; Owner: technical.vwap_in_score (changes scores)</t>
        </is>
      </c>
      <c r="L94" s="11" t="inlineStr">
        <is>
          <t>W21: vwap_20d, vwap_session (intraday bars), vwap_dev_pct in technical_ext; strategy feature vwap_dev_pct</t>
        </is>
      </c>
      <c r="M94" s="11" t="inlineStr">
        <is>
          <t>Owner: technical.vwap_in_score (changes scores); QA</t>
        </is>
      </c>
      <c r="N94" s="11" t="inlineStr">
        <is>
          <t>data/technical_ext.py; data/technical.py</t>
        </is>
      </c>
      <c r="O94" s="11" t="inlineStr">
        <is>
          <t>DP-03</t>
        </is>
      </c>
      <c r="P94" s="11" t="inlineStr">
        <is>
          <t>2026-09-27</t>
        </is>
      </c>
      <c r="Q94" s="14" t="inlineStr"/>
      <c r="R94" s="14" t="inlineStr"/>
    </row>
    <row r="95">
      <c r="A95" s="11" t="n">
        <v>94</v>
      </c>
      <c r="B95" s="11" t="n">
        <v>2</v>
      </c>
      <c r="C95" s="11" t="inlineStr">
        <is>
          <t>Quant Research (data, factors, backtesting)</t>
        </is>
      </c>
      <c r="D95" s="11" t="inlineStr">
        <is>
          <t>SC-12</t>
        </is>
      </c>
      <c r="E95" s="11" t="inlineStr">
        <is>
          <t>Alpha/Factor Engine</t>
        </is>
      </c>
      <c r="F95" s="11" t="inlineStr">
        <is>
          <t>Technical Score VWAP input</t>
        </is>
      </c>
      <c r="G95" s="12" t="inlineStr">
        <is>
          <t>COMPLETED</t>
        </is>
      </c>
      <c r="H95" s="13" t="n">
        <v>0.75</v>
      </c>
      <c r="I95" s="11" t="inlineStr"/>
      <c r="J95" s="11" t="inlineStr">
        <is>
          <t>Live (ATIP-W24-RC1)</t>
        </is>
      </c>
      <c r="K95" s="11" t="inlineStr"/>
      <c r="L95" s="11" t="inlineStr">
        <is>
          <t>Implemented; VWAP weight dead</t>
        </is>
      </c>
      <c r="M95" s="11" t="inlineStr">
        <is>
          <t>Include VWAP</t>
        </is>
      </c>
      <c r="N95" s="11" t="inlineStr">
        <is>
          <t>data/technical.py</t>
        </is>
      </c>
      <c r="O95" s="11" t="inlineStr">
        <is>
          <t>TA-03</t>
        </is>
      </c>
      <c r="P95" s="11" t="inlineStr">
        <is>
          <t>2026-09-24</t>
        </is>
      </c>
      <c r="Q95" s="14" t="inlineStr"/>
      <c r="R95" s="14" t="inlineStr"/>
    </row>
    <row r="96">
      <c r="A96" s="11" t="n">
        <v>95</v>
      </c>
      <c r="B96" s="11" t="n">
        <v>2</v>
      </c>
      <c r="C96" s="11" t="inlineStr">
        <is>
          <t>Quant Research (data, factors, backtesting)</t>
        </is>
      </c>
      <c r="D96" s="11" t="inlineStr">
        <is>
          <t>TA-04</t>
        </is>
      </c>
      <c r="E96" s="11" t="inlineStr">
        <is>
          <t>Technical Analysis</t>
        </is>
      </c>
      <c r="F96" s="11" t="inlineStr">
        <is>
          <t>Volume Profile</t>
        </is>
      </c>
      <c r="G96" s="16" t="inlineStr">
        <is>
          <t>IMPLEMENTED BUT NOT VERIFIED</t>
        </is>
      </c>
      <c r="H96" s="13" t="n">
        <v>0.8</v>
      </c>
      <c r="I96" s="11" t="inlineStr">
        <is>
          <t>W21</t>
        </is>
      </c>
      <c r="J96" s="11" t="inlineStr">
        <is>
          <t>Live (ATIP-W24-RC1)</t>
        </is>
      </c>
      <c r="K96" s="11" t="inlineStr">
        <is>
          <t>Independent QA</t>
        </is>
      </c>
      <c r="L96" s="11" t="inlineStr">
        <is>
          <t>W21: volume profile POC/VAH/VAL over 20 sessions (intraday or daily basis)</t>
        </is>
      </c>
      <c r="M96" s="11" t="inlineStr">
        <is>
          <t>QA</t>
        </is>
      </c>
      <c r="N96" s="11" t="inlineStr">
        <is>
          <t>data/technical_ext.py</t>
        </is>
      </c>
      <c r="O96" s="11" t="inlineStr">
        <is>
          <t>DP-03</t>
        </is>
      </c>
      <c r="P96" s="11" t="inlineStr">
        <is>
          <t>2026-09-27</t>
        </is>
      </c>
      <c r="Q96" s="14" t="inlineStr"/>
      <c r="R96" s="14" t="inlineStr"/>
    </row>
    <row r="97">
      <c r="A97" s="11" t="n">
        <v>96</v>
      </c>
      <c r="B97" s="11" t="n">
        <v>2</v>
      </c>
      <c r="C97" s="11" t="inlineStr">
        <is>
          <t>Quant Research (data, factors, backtesting)</t>
        </is>
      </c>
      <c r="D97" s="11" t="inlineStr">
        <is>
          <t>TA-10</t>
        </is>
      </c>
      <c r="E97" s="11" t="inlineStr">
        <is>
          <t>Technical Analysis</t>
        </is>
      </c>
      <c r="F97" s="11" t="inlineStr">
        <is>
          <t>Multi-timeframe analysis</t>
        </is>
      </c>
      <c r="G97" s="16" t="inlineStr">
        <is>
          <t>IMPLEMENTED BUT NOT VERIFIED</t>
        </is>
      </c>
      <c r="H97" s="13" t="n">
        <v>0.8</v>
      </c>
      <c r="I97" s="11" t="inlineStr">
        <is>
          <t>W21</t>
        </is>
      </c>
      <c r="J97" s="11" t="inlineStr">
        <is>
          <t>Live (ATIP-W24-RC1)</t>
        </is>
      </c>
      <c r="K97" s="11" t="inlineStr">
        <is>
          <t>Independent QA</t>
        </is>
      </c>
      <c r="L97" s="11" t="inlineStr">
        <is>
          <t>W21: weekly RSI/trend, monthly trend, mtf_alignment -3..+3</t>
        </is>
      </c>
      <c r="M97" s="11" t="inlineStr">
        <is>
          <t>QA</t>
        </is>
      </c>
      <c r="N97" s="11" t="inlineStr">
        <is>
          <t>data/technical_ext.py</t>
        </is>
      </c>
      <c r="O97" s="11" t="inlineStr">
        <is>
          <t>DP-03</t>
        </is>
      </c>
      <c r="P97" s="11" t="inlineStr">
        <is>
          <t>2026-09-27</t>
        </is>
      </c>
      <c r="Q97" s="14" t="inlineStr"/>
      <c r="R97" s="14" t="inlineStr"/>
    </row>
    <row r="98">
      <c r="A98" s="11" t="n">
        <v>97</v>
      </c>
      <c r="B98" s="11" t="n">
        <v>2</v>
      </c>
      <c r="C98" s="11" t="inlineStr">
        <is>
          <t>Quant Research (data, factors, backtesting)</t>
        </is>
      </c>
      <c r="D98" s="11" t="inlineStr">
        <is>
          <t>TA-12</t>
        </is>
      </c>
      <c r="E98" s="11" t="inlineStr">
        <is>
          <t>Technical Analysis</t>
        </is>
      </c>
      <c r="F98" s="11" t="inlineStr">
        <is>
          <t>Full-history indicator panel</t>
        </is>
      </c>
      <c r="G98" s="16" t="inlineStr">
        <is>
          <t>IMPLEMENTED BUT NOT VERIFIED</t>
        </is>
      </c>
      <c r="H98" s="13" t="n">
        <v>0.7</v>
      </c>
      <c r="I98" s="11" t="inlineStr">
        <is>
          <t>W21</t>
        </is>
      </c>
      <c r="J98" s="11" t="inlineStr">
        <is>
          <t>Live (ATIP-W24-RC1)</t>
        </is>
      </c>
      <c r="K98" s="11" t="inlineStr">
        <is>
          <t>Independent QA; Owner: When to run the indicator backfill</t>
        </is>
      </c>
      <c r="L98" s="11" t="inlineStr">
        <is>
          <t>W21: python -m data.technical --backfill N (tracked universe, resumable)</t>
        </is>
      </c>
      <c r="M98" s="11" t="inlineStr">
        <is>
          <t>Run the backfill (owner timing; copy first)</t>
        </is>
      </c>
      <c r="N98" s="11" t="inlineStr">
        <is>
          <t>data/technical.py</t>
        </is>
      </c>
      <c r="O98" s="11" t="inlineStr"/>
      <c r="P98" s="11" t="inlineStr">
        <is>
          <t>2026-09-27</t>
        </is>
      </c>
      <c r="Q98" s="14" t="inlineStr"/>
      <c r="R98" s="14" t="inlineStr"/>
    </row>
    <row r="99">
      <c r="A99" s="11" t="n">
        <v>98</v>
      </c>
      <c r="B99" s="11" t="n">
        <v>2</v>
      </c>
      <c r="C99" s="11" t="inlineStr">
        <is>
          <t>Quant Research (data, factors, backtesting)</t>
        </is>
      </c>
      <c r="D99" s="11" t="inlineStr">
        <is>
          <t>AF-03</t>
        </is>
      </c>
      <c r="E99" s="11" t="inlineStr">
        <is>
          <t>Alpha/Factor Engine</t>
        </is>
      </c>
      <c r="F99" s="11" t="inlineStr">
        <is>
          <t>Factor panel persistence</t>
        </is>
      </c>
      <c r="G99" s="16" t="inlineStr">
        <is>
          <t>IMPLEMENTED BUT NOT VERIFIED</t>
        </is>
      </c>
      <c r="H99" s="13" t="n">
        <v>0.85</v>
      </c>
      <c r="I99" s="11" t="inlineStr">
        <is>
          <t>W22</t>
        </is>
      </c>
      <c r="J99" s="11" t="inlineStr">
        <is>
          <t>Live (ATIP-W24-RC1)</t>
        </is>
      </c>
      <c r="K99" s="11" t="inlineStr">
        <is>
          <t>Independent QA</t>
        </is>
      </c>
      <c r="L99" s="11" t="inlineStr">
        <is>
          <t>W22: score_components stores every ATIP index's sub-components per symbol/date (weighted_score label capture; scores unchanged)</t>
        </is>
      </c>
      <c r="M99" s="11" t="inlineStr">
        <is>
          <t>QA</t>
        </is>
      </c>
      <c r="N99" s="11" t="inlineStr">
        <is>
          <t>scores/engine.py; scores/formulas.py</t>
        </is>
      </c>
      <c r="O99" s="11" t="inlineStr">
        <is>
          <t>TA-12</t>
        </is>
      </c>
      <c r="P99" s="11" t="inlineStr">
        <is>
          <t>2026-09-27</t>
        </is>
      </c>
      <c r="Q99" s="14" t="inlineStr"/>
      <c r="R99" s="14" t="inlineStr"/>
    </row>
    <row r="100">
      <c r="A100" s="11" t="n">
        <v>99</v>
      </c>
      <c r="B100" s="11" t="n">
        <v>2</v>
      </c>
      <c r="C100" s="11" t="inlineStr">
        <is>
          <t>Quant Research (data, factors, backtesting)</t>
        </is>
      </c>
      <c r="D100" s="11" t="inlineStr">
        <is>
          <t>AF-04</t>
        </is>
      </c>
      <c r="E100" s="11" t="inlineStr">
        <is>
          <t>Alpha/Factor Engine</t>
        </is>
      </c>
      <c r="F100" s="11" t="inlineStr">
        <is>
          <t>Standalone factor families</t>
        </is>
      </c>
      <c r="G100" s="16" t="inlineStr">
        <is>
          <t>IMPLEMENTED BUT NOT VERIFIED</t>
        </is>
      </c>
      <c r="H100" s="13" t="n">
        <v>0.8</v>
      </c>
      <c r="I100" s="11" t="inlineStr">
        <is>
          <t>W22</t>
        </is>
      </c>
      <c r="J100" s="11" t="inlineStr">
        <is>
          <t>Live (ATIP-W24-RC1)</t>
        </is>
      </c>
      <c r="K100" s="11" t="inlineStr">
        <is>
          <t>Independent QA</t>
        </is>
      </c>
      <c r="L100" s="11" t="inlineStr">
        <is>
          <t>W22: 11 standalone factors: mean reversion, trend, volume, recovery, risk (BRI)</t>
        </is>
      </c>
      <c r="M100" s="11" t="inlineStr">
        <is>
          <t>QA; research on full history</t>
        </is>
      </c>
      <c r="N100" s="11" t="inlineStr">
        <is>
          <t>quant/factors.py</t>
        </is>
      </c>
      <c r="O100" s="11" t="inlineStr">
        <is>
          <t>AF-03</t>
        </is>
      </c>
      <c r="P100" s="11" t="inlineStr">
        <is>
          <t>2026-09-27</t>
        </is>
      </c>
      <c r="Q100" s="14" t="inlineStr"/>
      <c r="R100" s="14" t="inlineStr"/>
    </row>
    <row r="101">
      <c r="A101" s="11" t="n">
        <v>100</v>
      </c>
      <c r="B101" s="11" t="n">
        <v>2</v>
      </c>
      <c r="C101" s="11" t="inlineStr">
        <is>
          <t>Quant Research (data, factors, backtesting)</t>
        </is>
      </c>
      <c r="D101" s="11" t="inlineStr">
        <is>
          <t>AF-02</t>
        </is>
      </c>
      <c r="E101" s="11" t="inlineStr">
        <is>
          <t>Alpha/Factor Engine</t>
        </is>
      </c>
      <c r="F101" s="11" t="inlineStr">
        <is>
          <t>Normalisation contract</t>
        </is>
      </c>
      <c r="G101" s="16" t="inlineStr">
        <is>
          <t>IMPLEMENTED BUT NOT VERIFIED</t>
        </is>
      </c>
      <c r="H101" s="13" t="n">
        <v>0.85</v>
      </c>
      <c r="I101" s="11" t="inlineStr"/>
      <c r="J101" s="11" t="inlineStr">
        <is>
          <t>Live (ATIP-W24-RC1)</t>
        </is>
      </c>
      <c r="K101" s="11" t="inlineStr">
        <is>
          <t>Independent QA</t>
        </is>
      </c>
      <c r="L101" s="11" t="inlineStr">
        <is>
          <t>W6 quant/normalize.py per-factor spec (winsorize/zscore/percentile/rank/minmax/sector/neutralize) -- tracker was stale</t>
        </is>
      </c>
      <c r="M101" s="11" t="inlineStr">
        <is>
          <t>QA</t>
        </is>
      </c>
      <c r="N101" s="11" t="inlineStr">
        <is>
          <t>quant/normalize.py</t>
        </is>
      </c>
      <c r="O101" s="11" t="inlineStr">
        <is>
          <t>AF-03</t>
        </is>
      </c>
      <c r="P101" s="11" t="inlineStr">
        <is>
          <t>2026-09-27</t>
        </is>
      </c>
      <c r="Q101" s="14" t="inlineStr"/>
      <c r="R101" s="14" t="inlineStr"/>
    </row>
    <row r="102">
      <c r="A102" s="11" t="n">
        <v>101</v>
      </c>
      <c r="B102" s="11" t="n">
        <v>2</v>
      </c>
      <c r="C102" s="11" t="inlineStr">
        <is>
          <t>Quant Research (data, factors, backtesting)</t>
        </is>
      </c>
      <c r="D102" s="11" t="inlineStr">
        <is>
          <t>AF-01</t>
        </is>
      </c>
      <c r="E102" s="11" t="inlineStr">
        <is>
          <t>Alpha/Factor Engine</t>
        </is>
      </c>
      <c r="F102" s="11" t="inlineStr">
        <is>
          <t>Factor library/registry</t>
        </is>
      </c>
      <c r="G102" s="16" t="inlineStr">
        <is>
          <t>IMPLEMENTED BUT NOT VERIFIED</t>
        </is>
      </c>
      <c r="H102" s="13" t="n">
        <v>0.85</v>
      </c>
      <c r="I102" s="11" t="inlineStr"/>
      <c r="J102" s="11" t="inlineStr">
        <is>
          <t>Live (ATIP-W24-RC1)</t>
        </is>
      </c>
      <c r="K102" s="11" t="inlineStr">
        <is>
          <t>Independent QA</t>
        </is>
      </c>
      <c r="L102" s="11" t="inlineStr">
        <is>
          <t>W6 registry quant_factor + factor sets + content-hash versioning (tracker was stale); W22 adds 11 factors</t>
        </is>
      </c>
      <c r="M102" s="11" t="inlineStr">
        <is>
          <t>QA</t>
        </is>
      </c>
      <c r="N102" s="11" t="inlineStr">
        <is>
          <t>quant/factors.py</t>
        </is>
      </c>
      <c r="O102" s="11" t="inlineStr">
        <is>
          <t>AF-03</t>
        </is>
      </c>
      <c r="P102" s="11" t="inlineStr">
        <is>
          <t>2026-09-27</t>
        </is>
      </c>
      <c r="Q102" s="14" t="inlineStr"/>
      <c r="R102" s="14" t="inlineStr"/>
    </row>
    <row r="103">
      <c r="A103" s="11" t="n">
        <v>102</v>
      </c>
      <c r="B103" s="11" t="n">
        <v>2</v>
      </c>
      <c r="C103" s="11" t="inlineStr">
        <is>
          <t>Quant Research (data, factors, backtesting)</t>
        </is>
      </c>
      <c r="D103" s="11" t="inlineStr">
        <is>
          <t>SC-18</t>
        </is>
      </c>
      <c r="E103" s="11" t="inlineStr">
        <is>
          <t>Alpha/Factor Engine</t>
        </is>
      </c>
      <c r="F103" s="11" t="inlineStr">
        <is>
          <t>Formula registry/versioning</t>
        </is>
      </c>
      <c r="G103" s="16" t="inlineStr">
        <is>
          <t>IMPLEMENTED BUT NOT VERIFIED</t>
        </is>
      </c>
      <c r="H103" s="13" t="n">
        <v>0.85</v>
      </c>
      <c r="I103" s="11" t="inlineStr">
        <is>
          <t>W22</t>
        </is>
      </c>
      <c r="J103" s="11" t="inlineStr">
        <is>
          <t>Live (ATIP-W24-RC1)</t>
        </is>
      </c>
      <c r="K103" s="11" t="inlineStr">
        <is>
          <t>Independent QA</t>
        </is>
      </c>
      <c r="L103" s="11" t="inlineStr">
        <is>
          <t>W22: formula_registry resolves each signal_log weights_hash to the full weight set + code version</t>
        </is>
      </c>
      <c r="M103" s="11" t="inlineStr">
        <is>
          <t>QA</t>
        </is>
      </c>
      <c r="N103" s="11" t="inlineStr">
        <is>
          <t>scores/formulas.py</t>
        </is>
      </c>
      <c r="O103" s="11" t="inlineStr">
        <is>
          <t>AF-01</t>
        </is>
      </c>
      <c r="P103" s="11" t="inlineStr">
        <is>
          <t>2026-09-27</t>
        </is>
      </c>
      <c r="Q103" s="14" t="inlineStr"/>
      <c r="R103" s="14" t="inlineStr"/>
    </row>
    <row r="104">
      <c r="A104" s="11" t="n">
        <v>103</v>
      </c>
      <c r="B104" s="11" t="n">
        <v>2</v>
      </c>
      <c r="C104" s="11" t="inlineStr">
        <is>
          <t>Quant Research (data, factors, backtesting)</t>
        </is>
      </c>
      <c r="D104" s="11" t="inlineStr">
        <is>
          <t>DBS-07</t>
        </is>
      </c>
      <c r="E104" s="11" t="inlineStr">
        <is>
          <t>Database</t>
        </is>
      </c>
      <c r="F104" s="11" t="inlineStr">
        <is>
          <t>Research registry tables</t>
        </is>
      </c>
      <c r="G104" s="16" t="inlineStr">
        <is>
          <t>IMPLEMENTED BUT NOT VERIFIED</t>
        </is>
      </c>
      <c r="H104" s="13" t="n">
        <v>0.8</v>
      </c>
      <c r="I104" s="11" t="inlineStr">
        <is>
          <t>W22</t>
        </is>
      </c>
      <c r="J104" s="11" t="inlineStr">
        <is>
          <t>Live (ATIP-W24-RC1)</t>
        </is>
      </c>
      <c r="K104" s="11" t="inlineStr">
        <is>
          <t>Independent QA</t>
        </is>
      </c>
      <c r="L104" s="11" t="inlineStr">
        <is>
          <t>W22: research_study + research_link registry, frozen on conclusion</t>
        </is>
      </c>
      <c r="M104" s="11" t="inlineStr">
        <is>
          <t>QA</t>
        </is>
      </c>
      <c r="N104" s="11" t="inlineStr">
        <is>
          <t>quant/studies.py</t>
        </is>
      </c>
      <c r="O104" s="11" t="inlineStr">
        <is>
          <t>DBS-04</t>
        </is>
      </c>
      <c r="P104" s="11" t="inlineStr">
        <is>
          <t>2026-09-27</t>
        </is>
      </c>
      <c r="Q104" s="14" t="inlineStr"/>
      <c r="R104" s="14" t="inlineStr"/>
    </row>
    <row r="105">
      <c r="A105" s="11" t="n">
        <v>104</v>
      </c>
      <c r="B105" s="11" t="n">
        <v>2</v>
      </c>
      <c r="C105" s="11" t="inlineStr">
        <is>
          <t>Quant Research (data, factors, backtesting)</t>
        </is>
      </c>
      <c r="D105" s="11" t="inlineStr">
        <is>
          <t>QR-01</t>
        </is>
      </c>
      <c r="E105" s="11" t="inlineStr">
        <is>
          <t>Quant Research</t>
        </is>
      </c>
      <c r="F105" s="11" t="inlineStr">
        <is>
          <t>Information coefficient</t>
        </is>
      </c>
      <c r="G105" s="16" t="inlineStr">
        <is>
          <t>IMPLEMENTED BUT NOT VERIFIED</t>
        </is>
      </c>
      <c r="H105" s="13" t="n">
        <v>0.8</v>
      </c>
      <c r="I105" s="11" t="inlineStr">
        <is>
          <t>W22</t>
        </is>
      </c>
      <c r="J105" s="11" t="inlineStr">
        <is>
          <t>Live (ATIP-W24-RC1)</t>
        </is>
      </c>
      <c r="K105" s="11" t="inlineStr">
        <is>
          <t>Independent QA</t>
        </is>
      </c>
      <c r="L105" s="11" t="inlineStr">
        <is>
          <t>W22: backfill_scores + research_report run IC for every factor</t>
        </is>
      </c>
      <c r="M105" s="11" t="inlineStr">
        <is>
          <t>Run full-history backfill + report</t>
        </is>
      </c>
      <c r="N105" s="11" t="inlineStr">
        <is>
          <t>quant/research.py</t>
        </is>
      </c>
      <c r="O105" s="11" t="inlineStr">
        <is>
          <t>AF-03</t>
        </is>
      </c>
      <c r="P105" s="11" t="inlineStr">
        <is>
          <t>2026-09-27</t>
        </is>
      </c>
      <c r="Q105" s="14" t="inlineStr"/>
      <c r="R105" s="14" t="inlineStr"/>
    </row>
    <row r="106">
      <c r="A106" s="11" t="n">
        <v>105</v>
      </c>
      <c r="B106" s="11" t="n">
        <v>2</v>
      </c>
      <c r="C106" s="11" t="inlineStr">
        <is>
          <t>Quant Research (data, factors, backtesting)</t>
        </is>
      </c>
      <c r="D106" s="11" t="inlineStr">
        <is>
          <t>QR-02</t>
        </is>
      </c>
      <c r="E106" s="11" t="inlineStr">
        <is>
          <t>Quant Research</t>
        </is>
      </c>
      <c r="F106" s="11" t="inlineStr">
        <is>
          <t>IC decay / half-life</t>
        </is>
      </c>
      <c r="G106" s="16" t="inlineStr">
        <is>
          <t>IMPLEMENTED BUT NOT VERIFIED</t>
        </is>
      </c>
      <c r="H106" s="13" t="n">
        <v>0.8</v>
      </c>
      <c r="I106" s="11" t="inlineStr">
        <is>
          <t>W22</t>
        </is>
      </c>
      <c r="J106" s="11" t="inlineStr">
        <is>
          <t>Live (ATIP-W24-RC1)</t>
        </is>
      </c>
      <c r="K106" s="11" t="inlineStr">
        <is>
          <t>Independent QA</t>
        </is>
      </c>
      <c r="L106" s="11" t="inlineStr">
        <is>
          <t>W22: IC decay 1/5/10/20 for every factor in research_report</t>
        </is>
      </c>
      <c r="M106" s="11" t="inlineStr">
        <is>
          <t>Run on full history</t>
        </is>
      </c>
      <c r="N106" s="11" t="inlineStr">
        <is>
          <t>quant/research.py</t>
        </is>
      </c>
      <c r="O106" s="11" t="inlineStr">
        <is>
          <t>QR-01</t>
        </is>
      </c>
      <c r="P106" s="11" t="inlineStr">
        <is>
          <t>2026-09-27</t>
        </is>
      </c>
      <c r="Q106" s="14" t="inlineStr"/>
      <c r="R106" s="14" t="inlineStr"/>
    </row>
    <row r="107">
      <c r="A107" s="11" t="n">
        <v>106</v>
      </c>
      <c r="B107" s="11" t="n">
        <v>2</v>
      </c>
      <c r="C107" s="11" t="inlineStr">
        <is>
          <t>Quant Research (data, factors, backtesting)</t>
        </is>
      </c>
      <c r="D107" s="11" t="inlineStr">
        <is>
          <t>QR-03</t>
        </is>
      </c>
      <c r="E107" s="11" t="inlineStr">
        <is>
          <t>Quant Research</t>
        </is>
      </c>
      <c r="F107" s="11" t="inlineStr">
        <is>
          <t>Factor correlation/redundancy</t>
        </is>
      </c>
      <c r="G107" s="16" t="inlineStr">
        <is>
          <t>IMPLEMENTED BUT NOT VERIFIED</t>
        </is>
      </c>
      <c r="H107" s="13" t="n">
        <v>0.8</v>
      </c>
      <c r="I107" s="11" t="inlineStr">
        <is>
          <t>W22</t>
        </is>
      </c>
      <c r="J107" s="11" t="inlineStr">
        <is>
          <t>Live (ATIP-W24-RC1)</t>
        </is>
      </c>
      <c r="K107" s="11" t="inlineStr">
        <is>
          <t>Independent QA</t>
        </is>
      </c>
      <c r="L107" s="11" t="inlineStr">
        <is>
          <t>W22: redundancy report (pairs |rho|&gt;=0.7) in research_report</t>
        </is>
      </c>
      <c r="M107" s="11" t="inlineStr">
        <is>
          <t>Run on full history</t>
        </is>
      </c>
      <c r="N107" s="11" t="inlineStr">
        <is>
          <t>quant/research.py</t>
        </is>
      </c>
      <c r="O107" s="11" t="inlineStr">
        <is>
          <t>AF-03</t>
        </is>
      </c>
      <c r="P107" s="11" t="inlineStr">
        <is>
          <t>2026-09-27</t>
        </is>
      </c>
      <c r="Q107" s="14" t="inlineStr"/>
      <c r="R107" s="14" t="inlineStr"/>
    </row>
    <row r="108">
      <c r="A108" s="11" t="n">
        <v>107</v>
      </c>
      <c r="B108" s="11" t="n">
        <v>2</v>
      </c>
      <c r="C108" s="11" t="inlineStr">
        <is>
          <t>Quant Research (data, factors, backtesting)</t>
        </is>
      </c>
      <c r="D108" s="11" t="inlineStr">
        <is>
          <t>QR-04</t>
        </is>
      </c>
      <c r="E108" s="11" t="inlineStr">
        <is>
          <t>Quant Research</t>
        </is>
      </c>
      <c r="F108" s="11" t="inlineStr">
        <is>
          <t>Statistical toolkit</t>
        </is>
      </c>
      <c r="G108" s="12" t="inlineStr">
        <is>
          <t>COMPLETED</t>
        </is>
      </c>
      <c r="H108" s="13" t="n">
        <v>0.75</v>
      </c>
      <c r="I108" s="11" t="inlineStr"/>
      <c r="J108" s="11" t="inlineStr">
        <is>
          <t>Live (ATIP-W24-RC1)</t>
        </is>
      </c>
      <c r="K108" s="11" t="inlineStr"/>
      <c r="L108" s="11" t="inlineStr">
        <is>
          <t>statarb (OLS, ADF, Engle-Granger, half-life, z) + normalize + volatility estimators</t>
        </is>
      </c>
      <c r="M108" s="11" t="inlineStr">
        <is>
          <t>Validate</t>
        </is>
      </c>
      <c r="N108" s="11" t="inlineStr">
        <is>
          <t>quant/statarb.py; quant/normalize.py; quant/volatility.py</t>
        </is>
      </c>
      <c r="O108" s="11" t="inlineStr">
        <is>
          <t>AF-03</t>
        </is>
      </c>
      <c r="P108" s="11" t="inlineStr">
        <is>
          <t>2026-09-25</t>
        </is>
      </c>
      <c r="Q108" s="14" t="inlineStr"/>
      <c r="R108" s="14" t="inlineStr"/>
    </row>
    <row r="109">
      <c r="A109" s="11" t="n">
        <v>108</v>
      </c>
      <c r="B109" s="11" t="n">
        <v>2</v>
      </c>
      <c r="C109" s="11" t="inlineStr">
        <is>
          <t>Quant Research (data, factors, backtesting)</t>
        </is>
      </c>
      <c r="D109" s="11" t="inlineStr">
        <is>
          <t>AF-08</t>
        </is>
      </c>
      <c r="E109" s="11" t="inlineStr">
        <is>
          <t>Alpha/Factor Engine</t>
        </is>
      </c>
      <c r="F109" s="11" t="inlineStr">
        <is>
          <t>Factor approval gate</t>
        </is>
      </c>
      <c r="G109" s="16" t="inlineStr">
        <is>
          <t>IMPLEMENTED BUT NOT VERIFIED</t>
        </is>
      </c>
      <c r="H109" s="13" t="n">
        <v>0.8</v>
      </c>
      <c r="I109" s="11" t="inlineStr">
        <is>
          <t>W22</t>
        </is>
      </c>
      <c r="J109" s="11" t="inlineStr">
        <is>
          <t>Live (ATIP-W24-RC1)</t>
        </is>
      </c>
      <c r="K109" s="11" t="inlineStr">
        <is>
          <t>Independent QA; Owner: quant.require_approved_factors</t>
        </is>
      </c>
      <c r="L109" s="11" t="inlineStr">
        <is>
          <t>W22: evidence-based approval gate, decision history, lifecycle enforcement behind quant.require_approved_factors</t>
        </is>
      </c>
      <c r="M109" s="11" t="inlineStr">
        <is>
          <t>Owner: enable after review</t>
        </is>
      </c>
      <c r="N109" s="11" t="inlineStr">
        <is>
          <t>quant/approval.py; strategy_engine/lifecycle.py</t>
        </is>
      </c>
      <c r="O109" s="11" t="inlineStr">
        <is>
          <t>QR-01; QR-03</t>
        </is>
      </c>
      <c r="P109" s="11" t="inlineStr">
        <is>
          <t>2026-09-27</t>
        </is>
      </c>
      <c r="Q109" s="14" t="inlineStr"/>
      <c r="R109" s="14" t="inlineStr"/>
    </row>
    <row r="110">
      <c r="A110" s="11" t="n">
        <v>109</v>
      </c>
      <c r="B110" s="11" t="n">
        <v>2</v>
      </c>
      <c r="C110" s="11" t="inlineStr">
        <is>
          <t>Quant Research (data, factors, backtesting)</t>
        </is>
      </c>
      <c r="D110" s="11" t="inlineStr">
        <is>
          <t>BT-16</t>
        </is>
      </c>
      <c r="E110" s="11" t="inlineStr">
        <is>
          <t>Backtesting</t>
        </is>
      </c>
      <c r="F110" s="11" t="inlineStr">
        <is>
          <t>Dated equity curve / run records</t>
        </is>
      </c>
      <c r="G110" s="12" t="inlineStr">
        <is>
          <t>COMPLETED</t>
        </is>
      </c>
      <c r="H110" s="13" t="n">
        <v>0.85</v>
      </c>
      <c r="I110" s="11" t="inlineStr"/>
      <c r="J110" s="11" t="inlineStr">
        <is>
          <t>Live (ATIP-W24-RC1)</t>
        </is>
      </c>
      <c r="K110" s="11" t="inlineStr"/>
      <c r="L110" s="11" t="inlineStr">
        <is>
          <t>backtest_run snapshot+hash, code version, data fingerprint; trades/equity/drawdowns tables</t>
        </is>
      </c>
      <c r="M110" s="11" t="inlineStr">
        <is>
          <t>Dated trades + equity curve + run table</t>
        </is>
      </c>
      <c r="N110" s="11" t="inlineStr">
        <is>
          <t>backtest/store.py; db/schema.py</t>
        </is>
      </c>
      <c r="O110" s="11" t="inlineStr"/>
      <c r="P110" s="11" t="inlineStr">
        <is>
          <t>2026-09-24</t>
        </is>
      </c>
      <c r="Q110" s="14" t="inlineStr"/>
      <c r="R110" s="14" t="inlineStr"/>
    </row>
    <row r="111">
      <c r="A111" s="11" t="n">
        <v>110</v>
      </c>
      <c r="B111" s="11" t="n">
        <v>2</v>
      </c>
      <c r="C111" s="11" t="inlineStr">
        <is>
          <t>Quant Research (data, factors, backtesting)</t>
        </is>
      </c>
      <c r="D111" s="11" t="inlineStr">
        <is>
          <t>BT-08</t>
        </is>
      </c>
      <c r="E111" s="11" t="inlineStr">
        <is>
          <t>Backtesting</t>
        </is>
      </c>
      <c r="F111" s="11" t="inlineStr">
        <is>
          <t>Portfolio-level backtest</t>
        </is>
      </c>
      <c r="G111" s="12" t="inlineStr">
        <is>
          <t>COMPLETED</t>
        </is>
      </c>
      <c r="H111" s="13" t="n">
        <v>0.85</v>
      </c>
      <c r="I111" s="11" t="inlineStr"/>
      <c r="J111" s="11" t="inlineStr">
        <is>
          <t>Live (ATIP-W24-RC1)</t>
        </is>
      </c>
      <c r="K111" s="11" t="inlineStr"/>
      <c r="L111" s="11" t="inlineStr">
        <is>
          <t>Portfolio engine: cash, positions, sizing (W1 size_position), exposure, dated equity</t>
        </is>
      </c>
      <c r="M111" s="11" t="inlineStr">
        <is>
          <t>Portfolio simulator</t>
        </is>
      </c>
      <c r="N111" s="11" t="inlineStr">
        <is>
          <t>backtest/engine.py</t>
        </is>
      </c>
      <c r="O111" s="11" t="inlineStr">
        <is>
          <t>BT-16</t>
        </is>
      </c>
      <c r="P111" s="11" t="inlineStr">
        <is>
          <t>2026-09-24</t>
        </is>
      </c>
      <c r="Q111" s="14" t="inlineStr"/>
      <c r="R111" s="14" t="inlineStr"/>
    </row>
    <row r="112">
      <c r="A112" s="11" t="n">
        <v>111</v>
      </c>
      <c r="B112" s="11" t="n">
        <v>2</v>
      </c>
      <c r="C112" s="11" t="inlineStr">
        <is>
          <t>Quant Research (data, factors, backtesting)</t>
        </is>
      </c>
      <c r="D112" s="11" t="inlineStr">
        <is>
          <t>BT-09</t>
        </is>
      </c>
      <c r="E112" s="11" t="inlineStr">
        <is>
          <t>Backtesting</t>
        </is>
      </c>
      <c r="F112" s="11" t="inlineStr">
        <is>
          <t>Drawdown analysis</t>
        </is>
      </c>
      <c r="G112" s="12" t="inlineStr">
        <is>
          <t>COMPLETED</t>
        </is>
      </c>
      <c r="H112" s="13" t="n">
        <v>0.9</v>
      </c>
      <c r="I112" s="11" t="inlineStr"/>
      <c r="J112" s="11" t="inlineStr">
        <is>
          <t>Live (ATIP-W24-RC1)</t>
        </is>
      </c>
      <c r="K112" s="11" t="inlineStr"/>
      <c r="L112" s="11" t="inlineStr">
        <is>
          <t>Drawdown series, max DD, episodes with duration/recovery on dated equity</t>
        </is>
      </c>
      <c r="M112" s="11" t="inlineStr">
        <is>
          <t>Compute on equity curve</t>
        </is>
      </c>
      <c r="N112" s="11" t="inlineStr">
        <is>
          <t>backtest/metrics.py</t>
        </is>
      </c>
      <c r="O112" s="11" t="inlineStr">
        <is>
          <t>BT-16</t>
        </is>
      </c>
      <c r="P112" s="11" t="inlineStr">
        <is>
          <t>2026-09-24</t>
        </is>
      </c>
      <c r="Q112" s="14" t="inlineStr"/>
      <c r="R112" s="14" t="inlineStr"/>
    </row>
    <row r="113">
      <c r="A113" s="11" t="n">
        <v>112</v>
      </c>
      <c r="B113" s="11" t="n">
        <v>2</v>
      </c>
      <c r="C113" s="11" t="inlineStr">
        <is>
          <t>Quant Research (data, factors, backtesting)</t>
        </is>
      </c>
      <c r="D113" s="11" t="inlineStr">
        <is>
          <t>BT-11</t>
        </is>
      </c>
      <c r="E113" s="11" t="inlineStr">
        <is>
          <t>Backtesting</t>
        </is>
      </c>
      <c r="F113" s="11" t="inlineStr">
        <is>
          <t>Sharpe/Sortino/CAGR/Calmar</t>
        </is>
      </c>
      <c r="G113" s="12" t="inlineStr">
        <is>
          <t>COMPLETED</t>
        </is>
      </c>
      <c r="H113" s="13" t="n">
        <v>0.9</v>
      </c>
      <c r="I113" s="11" t="inlineStr"/>
      <c r="J113" s="11" t="inlineStr">
        <is>
          <t>Live (ATIP-W24-RC1)</t>
        </is>
      </c>
      <c r="K113" s="11" t="inlineStr"/>
      <c r="L113" s="11" t="inlineStr">
        <is>
          <t>Return, CAGR, vol, Sharpe, Sortino, Calmar, trade stats; conventions documented</t>
        </is>
      </c>
      <c r="M113" s="11" t="inlineStr">
        <is>
          <t>Implement</t>
        </is>
      </c>
      <c r="N113" s="11" t="inlineStr">
        <is>
          <t>backtest/metrics.py</t>
        </is>
      </c>
      <c r="O113" s="11" t="inlineStr">
        <is>
          <t>BT-16</t>
        </is>
      </c>
      <c r="P113" s="11" t="inlineStr">
        <is>
          <t>2026-09-24</t>
        </is>
      </c>
      <c r="Q113" s="14" t="inlineStr"/>
      <c r="R113" s="14" t="inlineStr"/>
    </row>
    <row r="114">
      <c r="A114" s="11" t="n">
        <v>113</v>
      </c>
      <c r="B114" s="11" t="n">
        <v>2</v>
      </c>
      <c r="C114" s="11" t="inlineStr">
        <is>
          <t>Quant Research (data, factors, backtesting)</t>
        </is>
      </c>
      <c r="D114" s="11" t="inlineStr">
        <is>
          <t>BT-12</t>
        </is>
      </c>
      <c r="E114" s="11" t="inlineStr">
        <is>
          <t>Backtesting</t>
        </is>
      </c>
      <c r="F114" s="11" t="inlineStr">
        <is>
          <t>VaR/CVaR in backtest</t>
        </is>
      </c>
      <c r="G114" s="16" t="inlineStr">
        <is>
          <t>IMPLEMENTED BUT NOT VERIFIED</t>
        </is>
      </c>
      <c r="H114" s="13" t="n">
        <v>0.85</v>
      </c>
      <c r="I114" s="11" t="inlineStr">
        <is>
          <t>W23</t>
        </is>
      </c>
      <c r="J114" s="11" t="inlineStr">
        <is>
          <t>Live (ATIP-W24-RC1)</t>
        </is>
      </c>
      <c r="K114" s="11" t="inlineStr">
        <is>
          <t>Independent QA</t>
        </is>
      </c>
      <c r="L114" s="11" t="inlineStr">
        <is>
          <t>W23: historical VaR/CVaR 95/99, parametric VaR, skew, kurtosis in every backtest's metrics</t>
        </is>
      </c>
      <c r="M114" s="11" t="inlineStr">
        <is>
          <t>QA</t>
        </is>
      </c>
      <c r="N114" s="11" t="inlineStr">
        <is>
          <t>backtest/metrics.py</t>
        </is>
      </c>
      <c r="O114" s="11" t="inlineStr">
        <is>
          <t>BT-16</t>
        </is>
      </c>
      <c r="P114" s="11" t="inlineStr">
        <is>
          <t>2026-09-27</t>
        </is>
      </c>
      <c r="Q114" s="14" t="inlineStr"/>
      <c r="R114" s="14" t="inlineStr"/>
    </row>
    <row r="115">
      <c r="A115" s="11" t="n">
        <v>114</v>
      </c>
      <c r="B115" s="11" t="n">
        <v>2</v>
      </c>
      <c r="C115" s="11" t="inlineStr">
        <is>
          <t>Quant Research (data, factors, backtesting)</t>
        </is>
      </c>
      <c r="D115" s="11" t="inlineStr">
        <is>
          <t>BT-05</t>
        </is>
      </c>
      <c r="E115" s="11" t="inlineStr">
        <is>
          <t>Backtesting</t>
        </is>
      </c>
      <c r="F115" s="11" t="inlineStr">
        <is>
          <t>Itemised costs</t>
        </is>
      </c>
      <c r="G115" s="12" t="inlineStr">
        <is>
          <t>COMPLETED</t>
        </is>
      </c>
      <c r="H115" s="13" t="n">
        <v>0.85</v>
      </c>
      <c r="I115" s="11" t="inlineStr"/>
      <c r="J115" s="11" t="inlineStr">
        <is>
          <t>Live (ATIP-W24-RC1)</t>
        </is>
      </c>
      <c r="K115" s="11" t="inlineStr"/>
      <c r="L115" s="11" t="inlineStr">
        <is>
          <t>Itemised NSE cost model (delivery/intraday/flat/zero), central config</t>
        </is>
      </c>
      <c r="M115" s="11" t="inlineStr">
        <is>
          <t>Indian cost model shared by backtest and paper</t>
        </is>
      </c>
      <c r="N115" s="11" t="inlineStr">
        <is>
          <t>backtest/costs.py; backtest/config.py</t>
        </is>
      </c>
      <c r="O115" s="11" t="inlineStr"/>
      <c r="P115" s="11" t="inlineStr">
        <is>
          <t>2026-09-24</t>
        </is>
      </c>
      <c r="Q115" s="14" t="inlineStr"/>
      <c r="R115" s="14" t="inlineStr"/>
    </row>
    <row r="116">
      <c r="A116" s="11" t="n">
        <v>115</v>
      </c>
      <c r="B116" s="11" t="n">
        <v>2</v>
      </c>
      <c r="C116" s="11" t="inlineStr">
        <is>
          <t>Quant Research (data, factors, backtesting)</t>
        </is>
      </c>
      <c r="D116" s="11" t="inlineStr">
        <is>
          <t>BT-06</t>
        </is>
      </c>
      <c r="E116" s="11" t="inlineStr">
        <is>
          <t>Backtesting</t>
        </is>
      </c>
      <c r="F116" s="11" t="inlineStr">
        <is>
          <t>Slippage in backtest</t>
        </is>
      </c>
      <c r="G116" s="12" t="inlineStr">
        <is>
          <t>COMPLETED</t>
        </is>
      </c>
      <c r="H116" s="13" t="n">
        <v>0.9</v>
      </c>
      <c r="I116" s="11" t="inlineStr"/>
      <c r="J116" s="11" t="inlineStr">
        <is>
          <t>Live (ATIP-W24-RC1)</t>
        </is>
      </c>
      <c r="K116" s="11" t="inlineStr"/>
      <c r="L116" s="11" t="inlineStr">
        <is>
          <t>none / fixed / pct slippage, default = paper broker 5 bps</t>
        </is>
      </c>
      <c r="M116" s="11" t="inlineStr">
        <is>
          <t>Shared slippage model</t>
        </is>
      </c>
      <c r="N116" s="11" t="inlineStr">
        <is>
          <t>backtest/slippage.py</t>
        </is>
      </c>
      <c r="O116" s="11" t="inlineStr">
        <is>
          <t>BT-05</t>
        </is>
      </c>
      <c r="P116" s="11" t="inlineStr">
        <is>
          <t>2026-09-24</t>
        </is>
      </c>
      <c r="Q116" s="14" t="inlineStr"/>
      <c r="R116" s="14" t="inlineStr"/>
    </row>
    <row r="117">
      <c r="A117" s="11" t="n">
        <v>116</v>
      </c>
      <c r="B117" s="11" t="n">
        <v>2</v>
      </c>
      <c r="C117" s="11" t="inlineStr">
        <is>
          <t>Quant Research (data, factors, backtesting)</t>
        </is>
      </c>
      <c r="D117" s="11" t="inlineStr">
        <is>
          <t>BT-07</t>
        </is>
      </c>
      <c r="E117" s="11" t="inlineStr">
        <is>
          <t>Backtesting</t>
        </is>
      </c>
      <c r="F117" s="11" t="inlineStr">
        <is>
          <t>Liquidity constraints</t>
        </is>
      </c>
      <c r="G117" s="12" t="inlineStr">
        <is>
          <t>COMPLETED</t>
        </is>
      </c>
      <c r="H117" s="13" t="n">
        <v>0.85</v>
      </c>
      <c r="I117" s="11" t="inlineStr"/>
      <c r="J117" s="11" t="inlineStr">
        <is>
          <t>Live (ATIP-W24-RC1)</t>
        </is>
      </c>
      <c r="K117" s="11" t="inlineStr"/>
      <c r="L117" s="11" t="inlineStr">
        <is>
          <t>Volume participation cap/reject + prior-bar turnover floor</t>
        </is>
      </c>
      <c r="M117" s="11" t="inlineStr">
        <is>
          <t>All engines</t>
        </is>
      </c>
      <c r="N117" s="11" t="inlineStr">
        <is>
          <t>backtest/liquidity.py</t>
        </is>
      </c>
      <c r="O117" s="11" t="inlineStr"/>
      <c r="P117" s="11" t="inlineStr">
        <is>
          <t>2026-09-24</t>
        </is>
      </c>
      <c r="Q117" s="14" t="inlineStr"/>
      <c r="R117" s="14" t="inlineStr"/>
    </row>
    <row r="118">
      <c r="A118" s="11" t="n">
        <v>117</v>
      </c>
      <c r="B118" s="11" t="n">
        <v>2</v>
      </c>
      <c r="C118" s="11" t="inlineStr">
        <is>
          <t>Quant Research (data, factors, backtesting)</t>
        </is>
      </c>
      <c r="D118" s="11" t="inlineStr">
        <is>
          <t>DP-18</t>
        </is>
      </c>
      <c r="E118" s="11" t="inlineStr">
        <is>
          <t>Data Platform</t>
        </is>
      </c>
      <c r="F118" s="11" t="inlineStr">
        <is>
          <t>Survivorship-free universe</t>
        </is>
      </c>
      <c r="G118" s="12" t="inlineStr">
        <is>
          <t>COMPLETED</t>
        </is>
      </c>
      <c r="H118" s="13" t="n">
        <v>0.8</v>
      </c>
      <c r="I118" s="11" t="inlineStr"/>
      <c r="J118" s="11" t="inlineStr">
        <is>
          <t>Live (ATIP-W24-RC1)</t>
        </is>
      </c>
      <c r="K118" s="11" t="inlineStr"/>
      <c r="L118" s="11" t="inlineStr">
        <is>
          <t>Current NIFTY 500 download</t>
        </is>
      </c>
      <c r="M118" s="11" t="inlineStr">
        <is>
          <t>Store constituent history</t>
        </is>
      </c>
      <c r="N118" s="11" t="inlineStr">
        <is>
          <t>data/index_constituents.py</t>
        </is>
      </c>
      <c r="O118" s="11" t="inlineStr"/>
      <c r="P118" s="11" t="inlineStr">
        <is>
          <t>2026-09-24</t>
        </is>
      </c>
      <c r="Q118" s="14" t="inlineStr"/>
      <c r="R118" s="14" t="inlineStr"/>
    </row>
    <row r="119">
      <c r="A119" s="11" t="n">
        <v>118</v>
      </c>
      <c r="B119" s="11" t="n">
        <v>2</v>
      </c>
      <c r="C119" s="11" t="inlineStr">
        <is>
          <t>Quant Research (data, factors, backtesting)</t>
        </is>
      </c>
      <c r="D119" s="11" t="inlineStr">
        <is>
          <t>BT-15</t>
        </is>
      </c>
      <c r="E119" s="11" t="inlineStr">
        <is>
          <t>Backtesting</t>
        </is>
      </c>
      <c r="F119" s="11" t="inlineStr">
        <is>
          <t>Bias controls</t>
        </is>
      </c>
      <c r="G119" s="12" t="inlineStr">
        <is>
          <t>COMPLETED</t>
        </is>
      </c>
      <c r="H119" s="13" t="n">
        <v>0.8</v>
      </c>
      <c r="I119" s="11" t="inlineStr"/>
      <c r="J119" s="11" t="inlineStr">
        <is>
          <t>Live (ATIP-W24-RC1)</t>
        </is>
      </c>
      <c r="K119" s="11" t="inlineStr"/>
      <c r="L119" s="11" t="inlineStr">
        <is>
          <t>Point-in-time view + LookAheadError, next-open fills, data/timestamp validation, survivorship flag</t>
        </is>
      </c>
      <c r="M119" s="11" t="inlineStr">
        <is>
          <t>Systematic checks</t>
        </is>
      </c>
      <c r="N119" s="11" t="inlineStr">
        <is>
          <t>backtest/data.py; backtest/engine.py</t>
        </is>
      </c>
      <c r="O119" s="11" t="inlineStr">
        <is>
          <t>DP-18</t>
        </is>
      </c>
      <c r="P119" s="11" t="inlineStr">
        <is>
          <t>2026-09-24</t>
        </is>
      </c>
      <c r="Q119" s="14" t="inlineStr"/>
      <c r="R119" s="14" t="inlineStr"/>
    </row>
    <row r="120">
      <c r="A120" s="11" t="n">
        <v>119</v>
      </c>
      <c r="B120" s="11" t="n">
        <v>2</v>
      </c>
      <c r="C120" s="11" t="inlineStr">
        <is>
          <t>Quant Research (data, factors, backtesting)</t>
        </is>
      </c>
      <c r="D120" s="11" t="inlineStr">
        <is>
          <t>BT-03</t>
        </is>
      </c>
      <c r="E120" s="11" t="inlineStr">
        <is>
          <t>Backtesting</t>
        </is>
      </c>
      <c r="F120" s="11" t="inlineStr">
        <is>
          <t>In/out-of-sample</t>
        </is>
      </c>
      <c r="G120" s="12" t="inlineStr">
        <is>
          <t>COMPLETED</t>
        </is>
      </c>
      <c r="H120" s="13" t="n">
        <v>0.85</v>
      </c>
      <c r="I120" s="11" t="inlineStr"/>
      <c r="J120" s="11" t="inlineStr">
        <is>
          <t>Live (ATIP-W24-RC1)</t>
        </is>
      </c>
      <c r="K120" s="11" t="inlineStr"/>
      <c r="L120" s="11" t="inlineStr">
        <is>
          <t>Ordered non-overlapping research/validation/test; test needs allow_test; re-test flagged</t>
        </is>
      </c>
      <c r="M120" s="11" t="inlineStr">
        <is>
          <t>Formal splits</t>
        </is>
      </c>
      <c r="N120" s="11" t="inlineStr">
        <is>
          <t>backtest/periods.py; backtest/service.py</t>
        </is>
      </c>
      <c r="O120" s="11" t="inlineStr">
        <is>
          <t>BT-16</t>
        </is>
      </c>
      <c r="P120" s="11" t="inlineStr">
        <is>
          <t>2026-09-24</t>
        </is>
      </c>
      <c r="Q120" s="14" t="inlineStr"/>
      <c r="R120" s="14" t="inlineStr"/>
    </row>
    <row r="121">
      <c r="A121" s="11" t="n">
        <v>120</v>
      </c>
      <c r="B121" s="11" t="n">
        <v>2</v>
      </c>
      <c r="C121" s="11" t="inlineStr">
        <is>
          <t>Quant Research (data, factors, backtesting)</t>
        </is>
      </c>
      <c r="D121" s="11" t="inlineStr">
        <is>
          <t>BT-02</t>
        </is>
      </c>
      <c r="E121" s="11" t="inlineStr">
        <is>
          <t>Backtesting</t>
        </is>
      </c>
      <c r="F121" s="11" t="inlineStr">
        <is>
          <t>Walk-forward</t>
        </is>
      </c>
      <c r="G121" s="12" t="inlineStr">
        <is>
          <t>COMPLETED</t>
        </is>
      </c>
      <c r="H121" s="13" t="n">
        <v>0.8</v>
      </c>
      <c r="I121" s="11" t="inlineStr"/>
      <c r="J121" s="11" t="inlineStr">
        <is>
          <t>Live (ATIP-W24-RC1)</t>
        </is>
      </c>
      <c r="K121" s="11" t="inlineStr"/>
      <c r="L121" s="11" t="inlineStr">
        <is>
          <t>Rolling windows, candidate selection on validation, stitched OOS; no optimiser</t>
        </is>
      </c>
      <c r="M121" s="11" t="inlineStr">
        <is>
          <t>Implement</t>
        </is>
      </c>
      <c r="N121" s="11" t="inlineStr">
        <is>
          <t>backtest/walkforward.py</t>
        </is>
      </c>
      <c r="O121" s="11" t="inlineStr">
        <is>
          <t>BT-03</t>
        </is>
      </c>
      <c r="P121" s="11" t="inlineStr">
        <is>
          <t>2026-09-24</t>
        </is>
      </c>
      <c r="Q121" s="14" t="inlineStr"/>
      <c r="R121" s="14" t="inlineStr"/>
    </row>
    <row r="122">
      <c r="A122" s="11" t="n">
        <v>121</v>
      </c>
      <c r="B122" s="11" t="n">
        <v>2</v>
      </c>
      <c r="C122" s="11" t="inlineStr">
        <is>
          <t>Quant Research (data, factors, backtesting)</t>
        </is>
      </c>
      <c r="D122" s="11" t="inlineStr">
        <is>
          <t>BT-13</t>
        </is>
      </c>
      <c r="E122" s="11" t="inlineStr">
        <is>
          <t>Backtesting</t>
        </is>
      </c>
      <c r="F122" s="11" t="inlineStr">
        <is>
          <t>Monte Carlo</t>
        </is>
      </c>
      <c r="G122" s="12" t="inlineStr">
        <is>
          <t>COMPLETED</t>
        </is>
      </c>
      <c r="H122" s="13" t="n">
        <v>0.85</v>
      </c>
      <c r="I122" s="11" t="inlineStr"/>
      <c r="J122" s="11" t="inlineStr">
        <is>
          <t>Live (ATIP-W24-RC1)</t>
        </is>
      </c>
      <c r="K122" s="11" t="inlineStr"/>
      <c r="L122" s="11" t="inlineStr">
        <is>
          <t>Seeded trade shuffle + return bootstrap; percentiles, P(loss), disclaimer</t>
        </is>
      </c>
      <c r="M122" s="11" t="inlineStr">
        <is>
          <t>Implement</t>
        </is>
      </c>
      <c r="N122" s="11" t="inlineStr">
        <is>
          <t>backtest/montecarlo.py</t>
        </is>
      </c>
      <c r="O122" s="11" t="inlineStr">
        <is>
          <t>BT-16</t>
        </is>
      </c>
      <c r="P122" s="11" t="inlineStr">
        <is>
          <t>2026-09-24</t>
        </is>
      </c>
      <c r="Q122" s="14" t="inlineStr"/>
      <c r="R122" s="14" t="inlineStr"/>
    </row>
    <row r="123">
      <c r="A123" s="11" t="n">
        <v>122</v>
      </c>
      <c r="B123" s="11" t="n">
        <v>2</v>
      </c>
      <c r="C123" s="11" t="inlineStr">
        <is>
          <t>Quant Research (data, factors, backtesting)</t>
        </is>
      </c>
      <c r="D123" s="11" t="inlineStr">
        <is>
          <t>BT-04</t>
        </is>
      </c>
      <c r="E123" s="11" t="inlineStr">
        <is>
          <t>Backtesting</t>
        </is>
      </c>
      <c r="F123" s="11" t="inlineStr">
        <is>
          <t>Parameter optimisation</t>
        </is>
      </c>
      <c r="G123" s="16" t="inlineStr">
        <is>
          <t>IMPLEMENTED BUT NOT VERIFIED</t>
        </is>
      </c>
      <c r="H123" s="13" t="n">
        <v>0.8</v>
      </c>
      <c r="I123" s="11" t="inlineStr">
        <is>
          <t>W23</t>
        </is>
      </c>
      <c r="J123" s="11" t="inlineStr">
        <is>
          <t>Live (ATIP-W24-RC1)</t>
        </is>
      </c>
      <c r="K123" s="11" t="inlineStr">
        <is>
          <t>Independent QA</t>
        </is>
      </c>
      <c r="L123" s="11" t="inlineStr">
        <is>
          <t>W23: grid / random / adaptive optimiser with trial runs, test-window refusal, Deflated Sharpe + overfit warning</t>
        </is>
      </c>
      <c r="M123" s="11" t="inlineStr">
        <is>
          <t>QA; optional true Bayesian search</t>
        </is>
      </c>
      <c r="N123" s="11" t="inlineStr">
        <is>
          <t>backtest/optimize.py</t>
        </is>
      </c>
      <c r="O123" s="11" t="inlineStr">
        <is>
          <t>BT-02</t>
        </is>
      </c>
      <c r="P123" s="11" t="inlineStr">
        <is>
          <t>2026-09-27</t>
        </is>
      </c>
      <c r="Q123" s="14" t="inlineStr"/>
      <c r="R123" s="14" t="inlineStr"/>
    </row>
    <row r="124">
      <c r="A124" s="11" t="n">
        <v>123</v>
      </c>
      <c r="B124" s="11" t="n">
        <v>2</v>
      </c>
      <c r="C124" s="11" t="inlineStr">
        <is>
          <t>Quant Research (data, factors, backtesting)</t>
        </is>
      </c>
      <c r="D124" s="11" t="inlineStr">
        <is>
          <t>QR-11</t>
        </is>
      </c>
      <c r="E124" s="11" t="inlineStr">
        <is>
          <t>Quant Research</t>
        </is>
      </c>
      <c r="F124" s="11" t="inlineStr">
        <is>
          <t>Parameter sensitivity</t>
        </is>
      </c>
      <c r="G124" s="16" t="inlineStr">
        <is>
          <t>IMPLEMENTED BUT NOT VERIFIED</t>
        </is>
      </c>
      <c r="H124" s="13" t="n">
        <v>0.8</v>
      </c>
      <c r="I124" s="11" t="inlineStr">
        <is>
          <t>W23</t>
        </is>
      </c>
      <c r="J124" s="11" t="inlineStr">
        <is>
          <t>Live (ATIP-W24-RC1)</t>
        </is>
      </c>
      <c r="K124" s="11" t="inlineStr">
        <is>
          <t>Independent QA</t>
        </is>
      </c>
      <c r="L124" s="11" t="inlineStr">
        <is>
          <t>W23: one-at-a-time sensitivity curves, stability, knife-edge flags, 2-D heat map</t>
        </is>
      </c>
      <c r="M124" s="11" t="inlineStr">
        <is>
          <t>QA</t>
        </is>
      </c>
      <c r="N124" s="11" t="inlineStr">
        <is>
          <t>backtest/sensitivity.py</t>
        </is>
      </c>
      <c r="O124" s="11" t="inlineStr">
        <is>
          <t>BT-04</t>
        </is>
      </c>
      <c r="P124" s="11" t="inlineStr">
        <is>
          <t>2026-09-27</t>
        </is>
      </c>
      <c r="Q124" s="14" t="inlineStr"/>
      <c r="R124" s="14" t="inlineStr"/>
    </row>
    <row r="125">
      <c r="A125" s="11" t="n">
        <v>124</v>
      </c>
      <c r="B125" s="11" t="n">
        <v>2</v>
      </c>
      <c r="C125" s="11" t="inlineStr">
        <is>
          <t>Quant Research (data, factors, backtesting)</t>
        </is>
      </c>
      <c r="D125" s="11" t="inlineStr">
        <is>
          <t>BT-14</t>
        </is>
      </c>
      <c r="E125" s="11" t="inlineStr">
        <is>
          <t>Backtesting</t>
        </is>
      </c>
      <c r="F125" s="11" t="inlineStr">
        <is>
          <t>Robustness</t>
        </is>
      </c>
      <c r="G125" s="16" t="inlineStr">
        <is>
          <t>IMPLEMENTED BUT NOT VERIFIED</t>
        </is>
      </c>
      <c r="H125" s="13" t="n">
        <v>0.8</v>
      </c>
      <c r="I125" s="11" t="inlineStr">
        <is>
          <t>W23</t>
        </is>
      </c>
      <c r="J125" s="11" t="inlineStr">
        <is>
          <t>Live (ATIP-W24-RC1)</t>
        </is>
      </c>
      <c r="K125" s="11" t="inlineStr">
        <is>
          <t>Independent QA</t>
        </is>
      </c>
      <c r="L125" s="11" t="inlineStr">
        <is>
          <t>W23: robustness battery (costs x2, slippage x3, universe halves, period halves, regimes, Monte Carlo) with verdict</t>
        </is>
      </c>
      <c r="M125" s="11" t="inlineStr">
        <is>
          <t>QA</t>
        </is>
      </c>
      <c r="N125" s="11" t="inlineStr">
        <is>
          <t>backtest/robustness.py</t>
        </is>
      </c>
      <c r="O125" s="11" t="inlineStr">
        <is>
          <t>BT-02</t>
        </is>
      </c>
      <c r="P125" s="11" t="inlineStr">
        <is>
          <t>2026-09-27</t>
        </is>
      </c>
      <c r="Q125" s="14" t="inlineStr"/>
      <c r="R125" s="14" t="inlineStr"/>
    </row>
    <row r="126">
      <c r="A126" s="11" t="n">
        <v>125</v>
      </c>
      <c r="B126" s="11" t="n">
        <v>2</v>
      </c>
      <c r="C126" s="11" t="inlineStr">
        <is>
          <t>Quant Research (data, factors, backtesting)</t>
        </is>
      </c>
      <c r="D126" s="11" t="inlineStr">
        <is>
          <t>QR-12</t>
        </is>
      </c>
      <c r="E126" s="11" t="inlineStr">
        <is>
          <t>Quant Research</t>
        </is>
      </c>
      <c r="F126" s="11" t="inlineStr">
        <is>
          <t>Reproducibility / experiment tracking</t>
        </is>
      </c>
      <c r="G126" s="16" t="inlineStr">
        <is>
          <t>IMPLEMENTED BUT NOT VERIFIED</t>
        </is>
      </c>
      <c r="H126" s="13" t="n">
        <v>0.8</v>
      </c>
      <c r="I126" s="11" t="inlineStr"/>
      <c r="J126" s="11" t="inlineStr">
        <is>
          <t>Live (ATIP-W24-RC1)</t>
        </is>
      </c>
      <c r="K126" s="11" t="inlineStr">
        <is>
          <t>Independent QA</t>
        </is>
      </c>
      <c r="L126" s="11" t="inlineStr">
        <is>
          <t>W6 experiments + W22 studies linking experiments/backtests/research</t>
        </is>
      </c>
      <c r="M126" s="11" t="inlineStr">
        <is>
          <t>QA</t>
        </is>
      </c>
      <c r="N126" s="11" t="inlineStr">
        <is>
          <t>quant/experiments.py; quant/studies.py</t>
        </is>
      </c>
      <c r="O126" s="11" t="inlineStr">
        <is>
          <t>DBS-07</t>
        </is>
      </c>
      <c r="P126" s="11" t="inlineStr">
        <is>
          <t>2026-09-27</t>
        </is>
      </c>
      <c r="Q126" s="14" t="inlineStr"/>
      <c r="R126" s="14" t="inlineStr"/>
    </row>
    <row r="127">
      <c r="A127" s="11" t="n">
        <v>126</v>
      </c>
      <c r="B127" s="11" t="n">
        <v>2</v>
      </c>
      <c r="C127" s="11" t="inlineStr">
        <is>
          <t>Quant Research (data, factors, backtesting)</t>
        </is>
      </c>
      <c r="D127" s="11" t="inlineStr">
        <is>
          <t>QR-07</t>
        </is>
      </c>
      <c r="E127" s="11" t="inlineStr">
        <is>
          <t>Quant Research</t>
        </is>
      </c>
      <c r="F127" s="11" t="inlineStr">
        <is>
          <t>Momentum/trend research</t>
        </is>
      </c>
      <c r="G127" s="16" t="inlineStr">
        <is>
          <t>IMPLEMENTED BUT NOT VERIFIED</t>
        </is>
      </c>
      <c r="H127" s="13" t="n">
        <v>0.7</v>
      </c>
      <c r="I127" s="11" t="inlineStr">
        <is>
          <t>W23</t>
        </is>
      </c>
      <c r="J127" s="11" t="inlineStr">
        <is>
          <t>Live (ATIP-W24-RC1)</t>
        </is>
      </c>
      <c r="K127" s="11" t="inlineStr">
        <is>
          <t>Independent QA</t>
        </is>
      </c>
      <c r="L127" s="11" t="inlineStr">
        <is>
          <t>W23: momentum breakout strategy + end-to-end study (optimise/validate/sensitivity/robustness/test)</t>
        </is>
      </c>
      <c r="M127" s="11" t="inlineStr">
        <is>
          <t>Run full-universe study; review</t>
        </is>
      </c>
      <c r="N127" s="11" t="inlineStr">
        <is>
          <t>backtest/strategies.py; backtest/study.py</t>
        </is>
      </c>
      <c r="O127" s="11" t="inlineStr">
        <is>
          <t>BT-02</t>
        </is>
      </c>
      <c r="P127" s="11" t="inlineStr">
        <is>
          <t>2026-09-27</t>
        </is>
      </c>
      <c r="Q127" s="14" t="inlineStr"/>
      <c r="R127" s="14" t="inlineStr"/>
    </row>
    <row r="128">
      <c r="A128" s="11" t="n">
        <v>127</v>
      </c>
      <c r="B128" s="11" t="n">
        <v>2</v>
      </c>
      <c r="C128" s="11" t="inlineStr">
        <is>
          <t>Quant Research (data, factors, backtesting)</t>
        </is>
      </c>
      <c r="D128" s="11" t="inlineStr">
        <is>
          <t>QR-08</t>
        </is>
      </c>
      <c r="E128" s="11" t="inlineStr">
        <is>
          <t>Quant Research</t>
        </is>
      </c>
      <c r="F128" s="11" t="inlineStr">
        <is>
          <t>Mean-reversion research</t>
        </is>
      </c>
      <c r="G128" s="16" t="inlineStr">
        <is>
          <t>IMPLEMENTED BUT NOT VERIFIED</t>
        </is>
      </c>
      <c r="H128" s="13" t="n">
        <v>0.7</v>
      </c>
      <c r="I128" s="11" t="inlineStr">
        <is>
          <t>W23</t>
        </is>
      </c>
      <c r="J128" s="11" t="inlineStr">
        <is>
          <t>Live (ATIP-W24-RC1)</t>
        </is>
      </c>
      <c r="K128" s="11" t="inlineStr">
        <is>
          <t>Independent QA</t>
        </is>
      </c>
      <c r="L128" s="11" t="inlineStr">
        <is>
          <t>W23: RSI(2) mean-reversion strategy + study; 12-stock smoke: REJECTED out of sample</t>
        </is>
      </c>
      <c r="M128" s="11" t="inlineStr">
        <is>
          <t>Run full-universe study; review</t>
        </is>
      </c>
      <c r="N128" s="11" t="inlineStr">
        <is>
          <t>backtest/strategies.py; backtest/study.py</t>
        </is>
      </c>
      <c r="O128" s="11" t="inlineStr">
        <is>
          <t>BT-02</t>
        </is>
      </c>
      <c r="P128" s="11" t="inlineStr">
        <is>
          <t>2026-09-27</t>
        </is>
      </c>
      <c r="Q128" s="14" t="inlineStr"/>
      <c r="R128" s="14" t="inlineStr"/>
    </row>
    <row r="129">
      <c r="A129" s="11" t="n">
        <v>128</v>
      </c>
      <c r="B129" s="11" t="n">
        <v>2</v>
      </c>
      <c r="C129" s="11" t="inlineStr">
        <is>
          <t>Quant Research (data, factors, backtesting)</t>
        </is>
      </c>
      <c r="D129" s="11" t="inlineStr">
        <is>
          <t>QR-13</t>
        </is>
      </c>
      <c r="E129" s="11" t="inlineStr">
        <is>
          <t>Quant Research</t>
        </is>
      </c>
      <c r="F129" s="11" t="inlineStr">
        <is>
          <t>Signal outcome research by regime</t>
        </is>
      </c>
      <c r="G129" s="12" t="inlineStr">
        <is>
          <t>COMPLETED</t>
        </is>
      </c>
      <c r="H129" s="13" t="n">
        <v>0.7</v>
      </c>
      <c r="I129" s="11" t="inlineStr"/>
      <c r="J129" s="11" t="inlineStr">
        <is>
          <t>Live (ATIP-W24-RC1)</t>
        </is>
      </c>
      <c r="K129" s="11" t="inlineStr"/>
      <c r="L129" s="11" t="inlineStr">
        <is>
          <t>success_report keyed on signal/threshold</t>
        </is>
      </c>
      <c r="M129" s="11" t="inlineStr">
        <is>
          <t>Add regime/ACS buckets</t>
        </is>
      </c>
      <c r="N129" s="11" t="inlineStr">
        <is>
          <t>scores/signal_log.py</t>
        </is>
      </c>
      <c r="O129" s="11" t="inlineStr">
        <is>
          <t>ML-05</t>
        </is>
      </c>
      <c r="P129" s="11" t="inlineStr">
        <is>
          <t>2026-09-24</t>
        </is>
      </c>
      <c r="Q129" s="14" t="inlineStr"/>
      <c r="R129" s="14" t="inlineStr"/>
    </row>
    <row r="130">
      <c r="A130" s="11" t="n">
        <v>129</v>
      </c>
      <c r="B130" s="11" t="n">
        <v>2</v>
      </c>
      <c r="C130" s="11" t="inlineStr">
        <is>
          <t>Quant Research (data, factors, backtesting)</t>
        </is>
      </c>
      <c r="D130" s="11" t="inlineStr">
        <is>
          <t>TA-09</t>
        </is>
      </c>
      <c r="E130" s="11" t="inlineStr">
        <is>
          <t>Technical Analysis</t>
        </is>
      </c>
      <c r="F130" s="11" t="inlineStr">
        <is>
          <t>Beta 3y / rolling 60</t>
        </is>
      </c>
      <c r="G130" s="16" t="inlineStr">
        <is>
          <t>IMPLEMENTED BUT NOT VERIFIED</t>
        </is>
      </c>
      <c r="H130" s="13" t="n">
        <v>0.7</v>
      </c>
      <c r="I130" s="11" t="inlineStr">
        <is>
          <t>W21</t>
        </is>
      </c>
      <c r="J130" s="11" t="inlineStr">
        <is>
          <t>Live (ATIP-W24-RC1)</t>
        </is>
      </c>
      <c r="K130" s="11" t="inlineStr">
        <is>
          <t>Independent QA; Owner: prices_daily retention &gt;= 1,100 days</t>
        </is>
      </c>
      <c r="L130" s="11" t="inlineStr">
        <is>
          <t>W21: beta_60, beta_downside, beta_long (&gt;=500 sessions)</t>
        </is>
      </c>
      <c r="M130" s="11" t="inlineStr">
        <is>
          <t>Owner: prices_daily retention &gt;= 1,100 days for a 3-year beta</t>
        </is>
      </c>
      <c r="N130" s="11" t="inlineStr">
        <is>
          <t>data/technical_ext.py</t>
        </is>
      </c>
      <c r="O130" s="11" t="inlineStr">
        <is>
          <t>TA-12</t>
        </is>
      </c>
      <c r="P130" s="11" t="inlineStr">
        <is>
          <t>2026-09-27</t>
        </is>
      </c>
      <c r="Q130" s="14" t="inlineStr"/>
      <c r="R130" s="14" t="inlineStr"/>
    </row>
    <row r="131">
      <c r="A131" s="11" t="n">
        <v>130</v>
      </c>
      <c r="B131" s="11" t="n">
        <v>2</v>
      </c>
      <c r="C131" s="11" t="inlineStr">
        <is>
          <t>Quant Research (data, factors, backtesting)</t>
        </is>
      </c>
      <c r="D131" s="11" t="inlineStr">
        <is>
          <t>SC-16</t>
        </is>
      </c>
      <c r="E131" s="11" t="inlineStr">
        <is>
          <t>Alpha/Factor Engine</t>
        </is>
      </c>
      <c r="F131" s="11" t="inlineStr">
        <is>
          <t>Beta Risk Index</t>
        </is>
      </c>
      <c r="G131" s="16" t="inlineStr">
        <is>
          <t>IMPLEMENTED BUT NOT VERIFIED</t>
        </is>
      </c>
      <c r="H131" s="13" t="n">
        <v>0.75</v>
      </c>
      <c r="I131" s="11" t="inlineStr">
        <is>
          <t>W21</t>
        </is>
      </c>
      <c r="J131" s="11" t="inlineStr">
        <is>
          <t>Live (ATIP-W24-RC1)</t>
        </is>
      </c>
      <c r="K131" s="11" t="inlineStr">
        <is>
          <t>Independent QA</t>
        </is>
      </c>
      <c r="L131" s="11" t="inlineStr">
        <is>
          <t>W21: Beta Risk Index 0-100 (level, downside, instability); strategy feature bri</t>
        </is>
      </c>
      <c r="M131" s="11" t="inlineStr">
        <is>
          <t>QA; decide if it joins a composite</t>
        </is>
      </c>
      <c r="N131" s="11" t="inlineStr">
        <is>
          <t>data/technical_ext.py</t>
        </is>
      </c>
      <c r="O131" s="11" t="inlineStr">
        <is>
          <t>TA-09</t>
        </is>
      </c>
      <c r="P131" s="11" t="inlineStr">
        <is>
          <t>2026-09-27</t>
        </is>
      </c>
      <c r="Q131" s="14" t="inlineStr"/>
      <c r="R131" s="14" t="inlineStr"/>
    </row>
    <row r="132">
      <c r="A132" s="11" t="n">
        <v>131</v>
      </c>
      <c r="B132" s="11" t="n">
        <v>2</v>
      </c>
      <c r="C132" s="11" t="inlineStr">
        <is>
          <t>Quant Research (data, factors, backtesting)</t>
        </is>
      </c>
      <c r="D132" s="11" t="inlineStr">
        <is>
          <t>TA-11</t>
        </is>
      </c>
      <c r="E132" s="11" t="inlineStr">
        <is>
          <t>Technical Analysis</t>
        </is>
      </c>
      <c r="F132" s="11" t="inlineStr">
        <is>
          <t>Extended indicator catalogue</t>
        </is>
      </c>
      <c r="G132" s="16" t="inlineStr">
        <is>
          <t>IMPLEMENTED BUT NOT VERIFIED</t>
        </is>
      </c>
      <c r="H132" s="13" t="n">
        <v>0.8</v>
      </c>
      <c r="I132" s="11" t="inlineStr">
        <is>
          <t>W21</t>
        </is>
      </c>
      <c r="J132" s="11" t="inlineStr">
        <is>
          <t>Live (ATIP-W24-RC1)</t>
        </is>
      </c>
      <c r="K132" s="11" t="inlineStr">
        <is>
          <t>Independent QA</t>
        </is>
      </c>
      <c r="L132" s="11" t="inlineStr">
        <is>
          <t>W21: Supertrend, Ichimoku, Keltner, Donchian, MFI, CMF, ROC, Aroon, PSAR; stoch/Williams %R/CCI now computed</t>
        </is>
      </c>
      <c r="M132" s="11" t="inlineStr">
        <is>
          <t>QA</t>
        </is>
      </c>
      <c r="N132" s="11" t="inlineStr">
        <is>
          <t>data/technical_ext.py; data/technical.py</t>
        </is>
      </c>
      <c r="O132" s="11" t="inlineStr">
        <is>
          <t>TA-12</t>
        </is>
      </c>
      <c r="P132" s="11" t="inlineStr">
        <is>
          <t>2026-09-27</t>
        </is>
      </c>
      <c r="Q132" s="14" t="inlineStr"/>
      <c r="R132" s="14" t="inlineStr"/>
    </row>
    <row r="133">
      <c r="A133" s="11" t="n">
        <v>132</v>
      </c>
      <c r="B133" s="11" t="n">
        <v>2</v>
      </c>
      <c r="C133" s="11" t="inlineStr">
        <is>
          <t>Quant Research (data, factors, backtesting)</t>
        </is>
      </c>
      <c r="D133" s="11" t="inlineStr">
        <is>
          <t>DP-08</t>
        </is>
      </c>
      <c r="E133" s="11" t="inlineStr">
        <is>
          <t>Data Platform</t>
        </is>
      </c>
      <c r="F133" s="11" t="inlineStr">
        <is>
          <t>Derivatives data</t>
        </is>
      </c>
      <c r="G133" s="17" t="inlineStr">
        <is>
          <t>YET TO START</t>
        </is>
      </c>
      <c r="H133" s="13" t="n">
        <v>0</v>
      </c>
      <c r="I133" s="11" t="inlineStr"/>
      <c r="J133" s="11" t="inlineStr">
        <is>
          <t>—</t>
        </is>
      </c>
      <c r="K133" s="11" t="inlineStr">
        <is>
          <t>Owner: Choose a derivatives data source</t>
        </is>
      </c>
      <c r="L133" s="11" t="inlineStr">
        <is>
          <t>None</t>
        </is>
      </c>
      <c r="M133" s="11" t="inlineStr">
        <is>
          <t>NSE F&amp;O bhavcopy + option chain store</t>
        </is>
      </c>
      <c r="N133" s="11" t="inlineStr">
        <is>
          <t>—</t>
        </is>
      </c>
      <c r="O133" s="11" t="inlineStr">
        <is>
          <t>DBS-04</t>
        </is>
      </c>
      <c r="P133" s="11" t="inlineStr">
        <is>
          <t>2026-09-24</t>
        </is>
      </c>
      <c r="Q133" s="14" t="inlineStr"/>
      <c r="R133" s="14" t="inlineStr"/>
    </row>
    <row r="134">
      <c r="A134" s="11" t="n">
        <v>133</v>
      </c>
      <c r="B134" s="11" t="n">
        <v>2</v>
      </c>
      <c r="C134" s="11" t="inlineStr">
        <is>
          <t>Quant Research (data, factors, backtesting)</t>
        </is>
      </c>
      <c r="D134" s="11" t="inlineStr">
        <is>
          <t>SC-06</t>
        </is>
      </c>
      <c r="E134" s="11" t="inlineStr">
        <is>
          <t>Alpha/Factor Engine</t>
        </is>
      </c>
      <c r="F134" s="11" t="inlineStr">
        <is>
          <t>MSI</t>
        </is>
      </c>
      <c r="G134" s="15" t="inlineStr">
        <is>
          <t>IN PROGRESS</t>
        </is>
      </c>
      <c r="H134" s="13" t="n">
        <v>0.55</v>
      </c>
      <c r="I134" s="11" t="inlineStr"/>
      <c r="J134" s="11" t="inlineStr">
        <is>
          <t>—</t>
        </is>
      </c>
      <c r="K134" s="11" t="inlineStr">
        <is>
          <t>Development</t>
        </is>
      </c>
      <c r="L134" s="11" t="inlineStr">
        <is>
          <t>Options/PCR frozen; news rule-based</t>
        </is>
      </c>
      <c r="M134" s="11" t="inlineStr">
        <is>
          <t>Real PCR; AI news later</t>
        </is>
      </c>
      <c r="N134" s="11" t="inlineStr">
        <is>
          <t>scores/engine.py</t>
        </is>
      </c>
      <c r="O134" s="11" t="inlineStr">
        <is>
          <t>DP-08</t>
        </is>
      </c>
      <c r="P134" s="11" t="inlineStr">
        <is>
          <t>2026-09-24</t>
        </is>
      </c>
      <c r="Q134" s="14" t="inlineStr"/>
      <c r="R134" s="14" t="inlineStr"/>
    </row>
    <row r="135">
      <c r="A135" s="11" t="n">
        <v>134</v>
      </c>
      <c r="B135" s="11" t="n">
        <v>2</v>
      </c>
      <c r="C135" s="11" t="inlineStr">
        <is>
          <t>Quant Research (data, factors, backtesting)</t>
        </is>
      </c>
      <c r="D135" s="11" t="inlineStr">
        <is>
          <t>DP-10</t>
        </is>
      </c>
      <c r="E135" s="11" t="inlineStr">
        <is>
          <t>Data Platform</t>
        </is>
      </c>
      <c r="F135" s="11" t="inlineStr">
        <is>
          <t>FII/DII history</t>
        </is>
      </c>
      <c r="G135" s="12" t="inlineStr">
        <is>
          <t>COMPLETED</t>
        </is>
      </c>
      <c r="H135" s="13" t="n">
        <v>0.8</v>
      </c>
      <c r="I135" s="11" t="inlineStr"/>
      <c r="J135" s="11" t="inlineStr">
        <is>
          <t>Live (ATIP-W24-RC1)</t>
        </is>
      </c>
      <c r="K135" s="11" t="inlineStr"/>
      <c r="L135" s="11" t="inlineStr">
        <is>
          <t>Session flows; only 7 sessions history</t>
        </is>
      </c>
      <c r="M135" s="11" t="inlineStr">
        <is>
          <t>Historical backfill source</t>
        </is>
      </c>
      <c r="N135" s="11" t="inlineStr">
        <is>
          <t>data/bhavcopy.py</t>
        </is>
      </c>
      <c r="O135" s="11" t="inlineStr"/>
      <c r="P135" s="11" t="inlineStr">
        <is>
          <t>2026-09-24</t>
        </is>
      </c>
      <c r="Q135" s="14" t="inlineStr"/>
      <c r="R135" s="14" t="inlineStr"/>
    </row>
    <row r="136">
      <c r="A136" s="11" t="n">
        <v>135</v>
      </c>
      <c r="B136" s="11" t="n">
        <v>2</v>
      </c>
      <c r="C136" s="11" t="inlineStr">
        <is>
          <t>Quant Research (data, factors, backtesting)</t>
        </is>
      </c>
      <c r="D136" s="11" t="inlineStr">
        <is>
          <t>DP-11</t>
        </is>
      </c>
      <c r="E136" s="11" t="inlineStr">
        <is>
          <t>Data Platform</t>
        </is>
      </c>
      <c r="F136" s="11" t="inlineStr">
        <is>
          <t>GIFT Nifty</t>
        </is>
      </c>
      <c r="G136" s="16" t="inlineStr">
        <is>
          <t>IMPLEMENTED BUT NOT VERIFIED</t>
        </is>
      </c>
      <c r="H136" s="13" t="n">
        <v>0.75</v>
      </c>
      <c r="I136" s="11" t="inlineStr">
        <is>
          <t>W21</t>
        </is>
      </c>
      <c r="J136" s="11" t="inlineStr">
        <is>
          <t>Live (ATIP-W24-RC1)</t>
        </is>
      </c>
      <c r="K136" s="11" t="inlineStr">
        <is>
          <t>Independent QA</t>
        </is>
      </c>
      <c r="L136" s="11" t="inlineStr">
        <is>
          <t>W21: daily GIFTNIFTY close from index_levels into prices_daily</t>
        </is>
      </c>
      <c r="M136" s="11" t="inlineStr">
        <is>
          <t>Pre-open panel (DB-04)</t>
        </is>
      </c>
      <c r="N136" s="11" t="inlineStr">
        <is>
          <t>data/market_series.py</t>
        </is>
      </c>
      <c r="O136" s="11" t="inlineStr"/>
      <c r="P136" s="11" t="inlineStr">
        <is>
          <t>2026-09-27</t>
        </is>
      </c>
      <c r="Q136" s="14" t="inlineStr"/>
      <c r="R136" s="14" t="inlineStr"/>
    </row>
    <row r="137">
      <c r="A137" s="11" t="n">
        <v>136</v>
      </c>
      <c r="B137" s="11" t="n">
        <v>2</v>
      </c>
      <c r="C137" s="11" t="inlineStr">
        <is>
          <t>Quant Research (data, factors, backtesting)</t>
        </is>
      </c>
      <c r="D137" s="11" t="inlineStr">
        <is>
          <t>DB-04</t>
        </is>
      </c>
      <c r="E137" s="11" t="inlineStr">
        <is>
          <t>Dashboard</t>
        </is>
      </c>
      <c r="F137" s="11" t="inlineStr">
        <is>
          <t>GIFT Nifty panel</t>
        </is>
      </c>
      <c r="G137" s="15" t="inlineStr">
        <is>
          <t>IN PROGRESS</t>
        </is>
      </c>
      <c r="H137" s="13" t="n">
        <v>0.6</v>
      </c>
      <c r="I137" s="11" t="inlineStr"/>
      <c r="J137" s="11" t="inlineStr">
        <is>
          <t>—</t>
        </is>
      </c>
      <c r="K137" s="11" t="inlineStr">
        <is>
          <t>Development</t>
        </is>
      </c>
      <c r="L137" s="11" t="inlineStr">
        <is>
          <t>In index strip</t>
        </is>
      </c>
      <c r="M137" s="11" t="inlineStr">
        <is>
          <t>Dedicated pre-open view</t>
        </is>
      </c>
      <c r="N137" s="11" t="inlineStr">
        <is>
          <t>dashboard/server.py</t>
        </is>
      </c>
      <c r="O137" s="11" t="inlineStr">
        <is>
          <t>DP-11</t>
        </is>
      </c>
      <c r="P137" s="11" t="inlineStr">
        <is>
          <t>2026-09-24</t>
        </is>
      </c>
      <c r="Q137" s="14" t="inlineStr"/>
      <c r="R137" s="14" t="inlineStr"/>
    </row>
    <row r="138">
      <c r="A138" s="11" t="n">
        <v>137</v>
      </c>
      <c r="B138" s="11" t="n">
        <v>2</v>
      </c>
      <c r="C138" s="11" t="inlineStr">
        <is>
          <t>Quant Research (data, factors, backtesting)</t>
        </is>
      </c>
      <c r="D138" s="11" t="inlineStr">
        <is>
          <t>DP-12</t>
        </is>
      </c>
      <c r="E138" s="11" t="inlineStr">
        <is>
          <t>Data Platform</t>
        </is>
      </c>
      <c r="F138" s="11" t="inlineStr">
        <is>
          <t>Global markets</t>
        </is>
      </c>
      <c r="G138" s="15" t="inlineStr">
        <is>
          <t>IN PROGRESS</t>
        </is>
      </c>
      <c r="H138" s="13" t="n">
        <v>0.7</v>
      </c>
      <c r="I138" s="11" t="inlineStr"/>
      <c r="J138" s="11" t="inlineStr">
        <is>
          <t>—</t>
        </is>
      </c>
      <c r="K138" s="11" t="inlineStr">
        <is>
          <t>Development</t>
        </is>
      </c>
      <c r="L138" s="11" t="inlineStr">
        <is>
          <t>13 yfinance tickers</t>
        </is>
      </c>
      <c r="M138" s="11" t="inlineStr">
        <is>
          <t>Bond yields; history depth</t>
        </is>
      </c>
      <c r="N138" s="11" t="inlineStr">
        <is>
          <t>data/markets.py</t>
        </is>
      </c>
      <c r="O138" s="11" t="inlineStr"/>
      <c r="P138" s="11" t="inlineStr">
        <is>
          <t>2026-09-24</t>
        </is>
      </c>
      <c r="Q138" s="14" t="inlineStr"/>
      <c r="R138" s="14" t="inlineStr"/>
    </row>
    <row r="139">
      <c r="A139" s="11" t="n">
        <v>138</v>
      </c>
      <c r="B139" s="11" t="n">
        <v>2</v>
      </c>
      <c r="C139" s="11" t="inlineStr">
        <is>
          <t>Quant Research (data, factors, backtesting)</t>
        </is>
      </c>
      <c r="D139" s="11" t="inlineStr">
        <is>
          <t>DP-13</t>
        </is>
      </c>
      <c r="E139" s="11" t="inlineStr">
        <is>
          <t>Data Platform</t>
        </is>
      </c>
      <c r="F139" s="11" t="inlineStr">
        <is>
          <t>Sector data</t>
        </is>
      </c>
      <c r="G139" s="16" t="inlineStr">
        <is>
          <t>IMPLEMENTED BUT NOT VERIFIED</t>
        </is>
      </c>
      <c r="H139" s="13" t="n">
        <v>0.8</v>
      </c>
      <c r="I139" s="11" t="inlineStr">
        <is>
          <t>W21</t>
        </is>
      </c>
      <c r="J139" s="11" t="inlineStr">
        <is>
          <t>Live (ATIP-W24-RC1)</t>
        </is>
      </c>
      <c r="K139" s="11" t="inlineStr">
        <is>
          <t>Independent QA</t>
        </is>
      </c>
      <c r="L139" s="11" t="inlineStr">
        <is>
          <t>W21: 8 sector index series in the daily Dhan sync + sector_breadth table</t>
        </is>
      </c>
      <c r="M139" s="11" t="inlineStr">
        <is>
          <t>Run --backfill-sectors; QA</t>
        </is>
      </c>
      <c r="N139" s="11" t="inlineStr">
        <is>
          <t>data/market_series.py; data/dhan.py</t>
        </is>
      </c>
      <c r="O139" s="11" t="inlineStr"/>
      <c r="P139" s="11" t="inlineStr">
        <is>
          <t>2026-09-27</t>
        </is>
      </c>
      <c r="Q139" s="14" t="inlineStr"/>
      <c r="R139" s="14" t="inlineStr"/>
    </row>
    <row r="140">
      <c r="A140" s="11" t="n">
        <v>139</v>
      </c>
      <c r="B140" s="11" t="n">
        <v>2</v>
      </c>
      <c r="C140" s="11" t="inlineStr">
        <is>
          <t>Quant Research (data, factors, backtesting)</t>
        </is>
      </c>
      <c r="D140" s="11" t="inlineStr">
        <is>
          <t>DP-16</t>
        </is>
      </c>
      <c r="E140" s="11" t="inlineStr">
        <is>
          <t>Data Platform</t>
        </is>
      </c>
      <c r="F140" s="11" t="inlineStr">
        <is>
          <t>Institutional data</t>
        </is>
      </c>
      <c r="G140" s="15" t="inlineStr">
        <is>
          <t>IN PROGRESS</t>
        </is>
      </c>
      <c r="H140" s="13" t="n">
        <v>0.25</v>
      </c>
      <c r="I140" s="11" t="inlineStr"/>
      <c r="J140" s="11" t="inlineStr">
        <is>
          <t>—</t>
        </is>
      </c>
      <c r="K140" s="11" t="inlineStr">
        <is>
          <t>Development</t>
        </is>
      </c>
      <c r="L140" s="11" t="inlineStr">
        <is>
          <t>Bulk/block only</t>
        </is>
      </c>
      <c r="M140" s="11" t="inlineStr">
        <is>
          <t>Promoter/SAST/PIT/MF feeds</t>
        </is>
      </c>
      <c r="N140" s="11" t="inlineStr">
        <is>
          <t>data/bhavcopy.py</t>
        </is>
      </c>
      <c r="O140" s="11" t="inlineStr"/>
      <c r="P140" s="11" t="inlineStr">
        <is>
          <t>2026-09-24</t>
        </is>
      </c>
      <c r="Q140" s="14" t="inlineStr"/>
      <c r="R140" s="14" t="inlineStr"/>
    </row>
    <row r="141">
      <c r="A141" s="11" t="n">
        <v>140</v>
      </c>
      <c r="B141" s="11" t="n">
        <v>2</v>
      </c>
      <c r="C141" s="11" t="inlineStr">
        <is>
          <t>Quant Research (data, factors, backtesting)</t>
        </is>
      </c>
      <c r="D141" s="11" t="inlineStr">
        <is>
          <t>SC-14</t>
        </is>
      </c>
      <c r="E141" s="11" t="inlineStr">
        <is>
          <t>Alpha/Factor Engine</t>
        </is>
      </c>
      <c r="F141" s="11" t="inlineStr">
        <is>
          <t>Institutional Score</t>
        </is>
      </c>
      <c r="G141" s="15" t="inlineStr">
        <is>
          <t>IN PROGRESS</t>
        </is>
      </c>
      <c r="H141" s="13" t="n">
        <v>0.4</v>
      </c>
      <c r="I141" s="11" t="inlineStr"/>
      <c r="J141" s="11" t="inlineStr">
        <is>
          <t>—</t>
        </is>
      </c>
      <c r="K141" s="11" t="inlineStr">
        <is>
          <t>Development</t>
        </is>
      </c>
      <c r="L141" s="11" t="inlineStr">
        <is>
          <t>FII + bulk only</t>
        </is>
      </c>
      <c r="M141" s="11" t="inlineStr">
        <is>
          <t>Add MF/promoter/insider</t>
        </is>
      </c>
      <c r="N141" s="11" t="inlineStr">
        <is>
          <t>scores/engine.py</t>
        </is>
      </c>
      <c r="O141" s="11" t="inlineStr">
        <is>
          <t>DP-16</t>
        </is>
      </c>
      <c r="P141" s="11" t="inlineStr">
        <is>
          <t>2026-09-24</t>
        </is>
      </c>
      <c r="Q141" s="14" t="inlineStr"/>
      <c r="R141" s="14" t="inlineStr"/>
    </row>
    <row r="142">
      <c r="A142" s="11" t="n">
        <v>141</v>
      </c>
      <c r="B142" s="11" t="n">
        <v>2</v>
      </c>
      <c r="C142" s="11" t="inlineStr">
        <is>
          <t>Quant Research (data, factors, backtesting)</t>
        </is>
      </c>
      <c r="D142" s="11" t="inlineStr">
        <is>
          <t>AD-03</t>
        </is>
      </c>
      <c r="E142" s="11" t="inlineStr">
        <is>
          <t>Alternative Data</t>
        </is>
      </c>
      <c r="F142" s="11" t="inlineStr">
        <is>
          <t>Bulk/block deal signal</t>
        </is>
      </c>
      <c r="G142" s="15" t="inlineStr">
        <is>
          <t>IN PROGRESS</t>
        </is>
      </c>
      <c r="H142" s="13" t="n">
        <v>0.4</v>
      </c>
      <c r="I142" s="11" t="inlineStr"/>
      <c r="J142" s="11" t="inlineStr">
        <is>
          <t>—</t>
        </is>
      </c>
      <c r="K142" s="11" t="inlineStr">
        <is>
          <t>Development</t>
        </is>
      </c>
      <c r="L142" s="11" t="inlineStr">
        <is>
          <t>Feeds INS</t>
        </is>
      </c>
      <c r="M142" s="11" t="inlineStr">
        <is>
          <t>Validate with IC</t>
        </is>
      </c>
      <c r="N142" s="11" t="inlineStr">
        <is>
          <t>data/bhavcopy.py</t>
        </is>
      </c>
      <c r="O142" s="11" t="inlineStr">
        <is>
          <t>DP-16</t>
        </is>
      </c>
      <c r="P142" s="11" t="inlineStr">
        <is>
          <t>2026-09-24</t>
        </is>
      </c>
      <c r="Q142" s="14" t="inlineStr"/>
      <c r="R142" s="14" t="inlineStr"/>
    </row>
    <row r="143">
      <c r="A143" s="11" t="n">
        <v>142</v>
      </c>
      <c r="B143" s="11" t="n">
        <v>3</v>
      </c>
      <c r="C143" s="11" t="inlineStr">
        <is>
          <t>Strategy Engine</t>
        </is>
      </c>
      <c r="D143" s="11" t="inlineStr">
        <is>
          <t>SG-04</t>
        </is>
      </c>
      <c r="E143" s="11" t="inlineStr">
        <is>
          <t>Signal Engine</t>
        </is>
      </c>
      <c r="F143" s="11" t="inlineStr">
        <is>
          <t>Rich decision states</t>
        </is>
      </c>
      <c r="G143" s="12" t="inlineStr">
        <is>
          <t>COMPLETED</t>
        </is>
      </c>
      <c r="H143" s="13" t="n">
        <v>0.8</v>
      </c>
      <c r="I143" s="11" t="inlineStr"/>
      <c r="J143" s="11" t="inlineStr">
        <is>
          <t>Live (ATIP-W24-RC1)</t>
        </is>
      </c>
      <c r="K143" s="11" t="inlineStr"/>
      <c r="L143" s="11" t="inlineStr">
        <is>
          <t>Decision states BUY/ADD/HOLD/REDUCE/EXIT/SELL/NO_ACTION/BLOCKED_BY_RISK with reasons; PositionIntent</t>
        </is>
      </c>
      <c r="M143" s="11" t="inlineStr">
        <is>
          <t>Extended states + stored reasons</t>
        </is>
      </c>
      <c r="N143" s="11" t="inlineStr">
        <is>
          <t>strategy_engine/decisions.py</t>
        </is>
      </c>
      <c r="O143" s="11" t="inlineStr">
        <is>
          <t>BT-02</t>
        </is>
      </c>
      <c r="P143" s="11" t="inlineStr">
        <is>
          <t>2026-09-24</t>
        </is>
      </c>
      <c r="Q143" s="14" t="inlineStr"/>
      <c r="R143" s="14" t="inlineStr"/>
    </row>
    <row r="144">
      <c r="A144" s="11" t="n">
        <v>143</v>
      </c>
      <c r="B144" s="11" t="n">
        <v>3</v>
      </c>
      <c r="C144" s="11" t="inlineStr">
        <is>
          <t>Strategy Engine</t>
        </is>
      </c>
      <c r="D144" s="11" t="inlineStr">
        <is>
          <t>SG-01</t>
        </is>
      </c>
      <c r="E144" s="11" t="inlineStr">
        <is>
          <t>Signal Engine</t>
        </is>
      </c>
      <c r="F144" s="11" t="inlineStr">
        <is>
          <t>SELL calibration</t>
        </is>
      </c>
      <c r="G144" s="12" t="inlineStr">
        <is>
          <t>COMPLETED</t>
        </is>
      </c>
      <c r="H144" s="13" t="n">
        <v>0.7</v>
      </c>
      <c r="I144" s="11" t="inlineStr"/>
      <c r="J144" s="11" t="inlineStr">
        <is>
          <t>Live (ATIP-W24-RC1)</t>
        </is>
      </c>
      <c r="K144" s="11" t="inlineStr"/>
      <c r="L144" s="11" t="inlineStr">
        <is>
          <t>SELL never fired</t>
        </is>
      </c>
      <c r="M144" s="11" t="inlineStr">
        <is>
          <t>Backtest-based SELL thresholds</t>
        </is>
      </c>
      <c r="N144" s="11" t="inlineStr">
        <is>
          <t>scores/engine.py</t>
        </is>
      </c>
      <c r="O144" s="11" t="inlineStr">
        <is>
          <t>BT-02</t>
        </is>
      </c>
      <c r="P144" s="11" t="inlineStr">
        <is>
          <t>2026-09-24</t>
        </is>
      </c>
      <c r="Q144" s="14" t="inlineStr"/>
      <c r="R144" s="14" t="inlineStr"/>
    </row>
    <row r="145">
      <c r="A145" s="11" t="n">
        <v>144</v>
      </c>
      <c r="B145" s="11" t="n">
        <v>3</v>
      </c>
      <c r="C145" s="11" t="inlineStr">
        <is>
          <t>Strategy Engine</t>
        </is>
      </c>
      <c r="D145" s="11" t="inlineStr">
        <is>
          <t>SE-01</t>
        </is>
      </c>
      <c r="E145" s="11" t="inlineStr">
        <is>
          <t>Strategy Engine</t>
        </is>
      </c>
      <c r="F145" s="11" t="inlineStr">
        <is>
          <t>Strategy library</t>
        </is>
      </c>
      <c r="G145" s="12" t="inlineStr">
        <is>
          <t>COMPLETED</t>
        </is>
      </c>
      <c r="H145" s="13" t="n">
        <v>0.85</v>
      </c>
      <c r="I145" s="11" t="inlineStr"/>
      <c r="J145" s="11" t="inlineStr">
        <is>
          <t>Live (ATIP-W24-RC1)</t>
        </is>
      </c>
      <c r="K145" s="11" t="inlineStr"/>
      <c r="L145" s="11" t="inlineStr">
        <is>
          <t>Versioned JSON definitions + DB registry (id, name, description, category, version, status, owner, created/updated, priority, weight); VERSION/LIFECYCLE events; 9 library strategies</t>
        </is>
      </c>
      <c r="M145" s="11" t="inlineStr">
        <is>
          <t>Strategy interface + registry</t>
        </is>
      </c>
      <c r="N145" s="11" t="inlineStr">
        <is>
          <t>strategy_engine/definition.py; registry.py</t>
        </is>
      </c>
      <c r="O145" s="11" t="inlineStr">
        <is>
          <t>BT-16</t>
        </is>
      </c>
      <c r="P145" s="11" t="inlineStr">
        <is>
          <t>2026-09-24</t>
        </is>
      </c>
      <c r="Q145" s="14" t="inlineStr"/>
      <c r="R145" s="14" t="inlineStr"/>
    </row>
    <row r="146">
      <c r="A146" s="11" t="n">
        <v>145</v>
      </c>
      <c r="B146" s="11" t="n">
        <v>3</v>
      </c>
      <c r="C146" s="11" t="inlineStr">
        <is>
          <t>Strategy Engine</t>
        </is>
      </c>
      <c r="D146" s="11" t="inlineStr">
        <is>
          <t>SE-02</t>
        </is>
      </c>
      <c r="E146" s="11" t="inlineStr">
        <is>
          <t>Strategy Engine</t>
        </is>
      </c>
      <c r="F146" s="11" t="inlineStr">
        <is>
          <t>Strategy parameters</t>
        </is>
      </c>
      <c r="G146" s="12" t="inlineStr">
        <is>
          <t>COMPLETED</t>
        </is>
      </c>
      <c r="H146" s="13" t="n">
        <v>0.85</v>
      </c>
      <c r="I146" s="11" t="inlineStr"/>
      <c r="J146" s="11" t="inlineStr">
        <is>
          <t>Live (ATIP-W24-RC1)</t>
        </is>
      </c>
      <c r="K146" s="11" t="inlineStr"/>
      <c r="L146" s="11" t="inlineStr">
        <is>
          <t>ParamSpec name/type/default/min/max/allowed/required/description; validated on resolve; stored per version in strategy_parameter</t>
        </is>
      </c>
      <c r="M146" s="11" t="inlineStr">
        <is>
          <t>Param store per strategy with versions</t>
        </is>
      </c>
      <c r="N146" s="11" t="inlineStr">
        <is>
          <t>strategy_engine/params.py; registry.py</t>
        </is>
      </c>
      <c r="O146" s="11" t="inlineStr">
        <is>
          <t>SE-01</t>
        </is>
      </c>
      <c r="P146" s="11" t="inlineStr">
        <is>
          <t>2026-09-24</t>
        </is>
      </c>
      <c r="Q146" s="14" t="inlineStr"/>
      <c r="R146" s="14" t="inlineStr"/>
    </row>
    <row r="147">
      <c r="A147" s="11" t="n">
        <v>146</v>
      </c>
      <c r="B147" s="11" t="n">
        <v>3</v>
      </c>
      <c r="C147" s="11" t="inlineStr">
        <is>
          <t>Strategy Engine</t>
        </is>
      </c>
      <c r="D147" s="11" t="inlineStr">
        <is>
          <t>SE-03</t>
        </is>
      </c>
      <c r="E147" s="11" t="inlineStr">
        <is>
          <t>Strategy Engine</t>
        </is>
      </c>
      <c r="F147" s="11" t="inlineStr">
        <is>
          <t>Rule-based strategies</t>
        </is>
      </c>
      <c r="G147" s="12" t="inlineStr">
        <is>
          <t>COMPLETED</t>
        </is>
      </c>
      <c r="H147" s="13" t="n">
        <v>0.85</v>
      </c>
      <c r="I147" s="11" t="inlineStr"/>
      <c r="J147" s="11" t="inlineStr">
        <is>
          <t>Live (ATIP-W24-RC1)</t>
        </is>
      </c>
      <c r="K147" s="11" t="inlineStr"/>
      <c r="L147" s="11" t="inlineStr">
        <is>
          <t>Rule language all/any/not/min-of, 11 operators incl. crosses; rule kind</t>
        </is>
      </c>
      <c r="M147" s="11" t="inlineStr">
        <is>
          <t>Generic rule definition format</t>
        </is>
      </c>
      <c r="N147" s="11" t="inlineStr">
        <is>
          <t>strategy_engine/rules.py; kinds.py</t>
        </is>
      </c>
      <c r="O147" s="11" t="inlineStr">
        <is>
          <t>SE-01</t>
        </is>
      </c>
      <c r="P147" s="11" t="inlineStr">
        <is>
          <t>2026-09-24</t>
        </is>
      </c>
      <c r="Q147" s="14" t="inlineStr"/>
      <c r="R147" s="14" t="inlineStr"/>
    </row>
    <row r="148">
      <c r="A148" s="11" t="n">
        <v>147</v>
      </c>
      <c r="B148" s="11" t="n">
        <v>3</v>
      </c>
      <c r="C148" s="11" t="inlineStr">
        <is>
          <t>Strategy Engine</t>
        </is>
      </c>
      <c r="D148" s="11" t="inlineStr">
        <is>
          <t>SE-06</t>
        </is>
      </c>
      <c r="E148" s="11" t="inlineStr">
        <is>
          <t>Strategy Engine</t>
        </is>
      </c>
      <c r="F148" s="11" t="inlineStr">
        <is>
          <t>Multi-factor strategy</t>
        </is>
      </c>
      <c r="G148" s="12" t="inlineStr">
        <is>
          <t>COMPLETED</t>
        </is>
      </c>
      <c r="H148" s="13" t="n">
        <v>0.85</v>
      </c>
      <c r="I148" s="11" t="inlineStr"/>
      <c r="J148" s="11" t="inlineStr">
        <is>
          <t>Live (ATIP-W24-RC1)</t>
        </is>
      </c>
      <c r="K148" s="11" t="inlineStr"/>
      <c r="L148" s="11" t="inlineStr">
        <is>
          <t>multi_factor kind: weights, scaling, thresholds, confirmations, coverage, ranking</t>
        </is>
      </c>
      <c r="M148" s="11" t="inlineStr">
        <is>
          <t>IC-weighted multi-factor strategy</t>
        </is>
      </c>
      <c r="N148" s="11" t="inlineStr">
        <is>
          <t>strategy_engine/kinds.py</t>
        </is>
      </c>
      <c r="O148" s="11" t="inlineStr">
        <is>
          <t>SE-01; QR-01</t>
        </is>
      </c>
      <c r="P148" s="11" t="inlineStr">
        <is>
          <t>2026-09-24</t>
        </is>
      </c>
      <c r="Q148" s="14" t="inlineStr"/>
      <c r="R148" s="14" t="inlineStr"/>
    </row>
    <row r="149">
      <c r="A149" s="11" t="n">
        <v>148</v>
      </c>
      <c r="B149" s="11" t="n">
        <v>3</v>
      </c>
      <c r="C149" s="11" t="inlineStr">
        <is>
          <t>Strategy Engine</t>
        </is>
      </c>
      <c r="D149" s="11" t="inlineStr">
        <is>
          <t>SE-04</t>
        </is>
      </c>
      <c r="E149" s="11" t="inlineStr">
        <is>
          <t>Strategy Engine</t>
        </is>
      </c>
      <c r="F149" s="11" t="inlineStr">
        <is>
          <t>Quant strategies</t>
        </is>
      </c>
      <c r="G149" s="12" t="inlineStr">
        <is>
          <t>COMPLETED</t>
        </is>
      </c>
      <c r="H149" s="13" t="n">
        <v>0.75</v>
      </c>
      <c r="I149" s="11" t="inlineStr"/>
      <c r="J149" s="11" t="inlineStr">
        <is>
          <t>Live (ATIP-W24-RC1)</t>
        </is>
      </c>
      <c r="K149" s="11" t="inlineStr"/>
      <c r="L149" s="11" t="inlineStr">
        <is>
          <t>quant_rank kind + point-in-time feature catalogue (framework only)</t>
        </is>
      </c>
      <c r="M149" s="11" t="inlineStr">
        <is>
          <t>Implement first quant strategies</t>
        </is>
      </c>
      <c r="N149" s="11" t="inlineStr">
        <is>
          <t>strategy_engine/kinds.py; features.py</t>
        </is>
      </c>
      <c r="O149" s="11" t="inlineStr">
        <is>
          <t>SE-01; QR-01</t>
        </is>
      </c>
      <c r="P149" s="11" t="inlineStr">
        <is>
          <t>2026-09-24</t>
        </is>
      </c>
      <c r="Q149" s="14" t="inlineStr"/>
      <c r="R149" s="14" t="inlineStr"/>
    </row>
    <row r="150">
      <c r="A150" s="11" t="n">
        <v>149</v>
      </c>
      <c r="B150" s="11" t="n">
        <v>3</v>
      </c>
      <c r="C150" s="11" t="inlineStr">
        <is>
          <t>Strategy Engine</t>
        </is>
      </c>
      <c r="D150" s="11" t="inlineStr">
        <is>
          <t>SE-09</t>
        </is>
      </c>
      <c r="E150" s="11" t="inlineStr">
        <is>
          <t>Strategy Engine</t>
        </is>
      </c>
      <c r="F150" s="11" t="inlineStr">
        <is>
          <t>Strategy lifecycle</t>
        </is>
      </c>
      <c r="G150" s="12" t="inlineStr">
        <is>
          <t>COMPLETED</t>
        </is>
      </c>
      <c r="H150" s="13" t="n">
        <v>0.85</v>
      </c>
      <c r="I150" s="11" t="inlineStr"/>
      <c r="J150" s="11" t="inlineStr">
        <is>
          <t>Live (ATIP-W24-RC1)</t>
        </is>
      </c>
      <c r="K150" s="11" t="inlineStr"/>
      <c r="L150" s="11" t="inlineStr">
        <is>
          <t>12 states incl. DRAFT/ACTIVE/PAUSED/DISABLED/RETIRED/ARCHIVED; allowed transitions; backtest evidence for ACTIVE/VALIDATION/APPROVED; strategy_engine_event audit</t>
        </is>
      </c>
      <c r="M150" s="11" t="inlineStr">
        <is>
          <t>State machine + gates</t>
        </is>
      </c>
      <c r="N150" s="11" t="inlineStr">
        <is>
          <t>strategy_engine/lifecycle.py</t>
        </is>
      </c>
      <c r="O150" s="11" t="inlineStr">
        <is>
          <t>SE-01</t>
        </is>
      </c>
      <c r="P150" s="11" t="inlineStr">
        <is>
          <t>2026-09-24</t>
        </is>
      </c>
      <c r="Q150" s="14" t="inlineStr"/>
      <c r="R150" s="14" t="inlineStr"/>
    </row>
    <row r="151">
      <c r="A151" s="11" t="n">
        <v>150</v>
      </c>
      <c r="B151" s="11" t="n">
        <v>3</v>
      </c>
      <c r="C151" s="11" t="inlineStr">
        <is>
          <t>Strategy Engine</t>
        </is>
      </c>
      <c r="D151" s="11" t="inlineStr">
        <is>
          <t>SE-11</t>
        </is>
      </c>
      <c r="E151" s="11" t="inlineStr">
        <is>
          <t>Strategy Engine</t>
        </is>
      </c>
      <c r="F151" s="11" t="inlineStr">
        <is>
          <t>Strategy health</t>
        </is>
      </c>
      <c r="G151" s="12" t="inlineStr">
        <is>
          <t>COMPLETED</t>
        </is>
      </c>
      <c r="H151" s="13" t="n">
        <v>0.75</v>
      </c>
      <c r="I151" s="11" t="inlineStr"/>
      <c r="J151" s="11" t="inlineStr">
        <is>
          <t>Live (ATIP-W24-RC1)</t>
        </is>
      </c>
      <c r="K151" s="11" t="inlineStr"/>
      <c r="L151" s="11" t="inlineStr">
        <is>
          <t>HEALTHY/WARNING/ERROR/STALE/DISABLED; last execution, last signal, signal frequency, error count, performance reference, data availability, parameter validity</t>
        </is>
      </c>
      <c r="M151" s="11" t="inlineStr">
        <is>
          <t>Health scoring + alerts</t>
        </is>
      </c>
      <c r="N151" s="11" t="inlineStr">
        <is>
          <t>strategy_engine/health.py</t>
        </is>
      </c>
      <c r="O151" s="11" t="inlineStr">
        <is>
          <t>SE-09; BT-16</t>
        </is>
      </c>
      <c r="P151" s="11" t="inlineStr">
        <is>
          <t>2026-09-24</t>
        </is>
      </c>
      <c r="Q151" s="14" t="inlineStr"/>
      <c r="R151" s="14" t="inlineStr"/>
    </row>
    <row r="152">
      <c r="A152" s="11" t="n">
        <v>151</v>
      </c>
      <c r="B152" s="11" t="n">
        <v>3</v>
      </c>
      <c r="C152" s="11" t="inlineStr">
        <is>
          <t>Strategy Engine</t>
        </is>
      </c>
      <c r="D152" s="11" t="inlineStr">
        <is>
          <t>SE-07</t>
        </is>
      </c>
      <c r="E152" s="11" t="inlineStr">
        <is>
          <t>Strategy Engine</t>
        </is>
      </c>
      <c r="F152" s="11" t="inlineStr">
        <is>
          <t>Strategy combination/ranking/selection</t>
        </is>
      </c>
      <c r="G152" s="12" t="inlineStr">
        <is>
          <t>COMPLETED</t>
        </is>
      </c>
      <c r="H152" s="13" t="n">
        <v>0.75</v>
      </c>
      <c r="I152" s="11" t="inlineStr"/>
      <c r="J152" s="11" t="inlineStr">
        <is>
          <t>Live (ATIP-W24-RC1)</t>
        </is>
      </c>
      <c r="K152" s="11" t="inlineStr"/>
      <c r="L152" s="11" t="inlineStr">
        <is>
          <t>composite kind (vote/weighted/priority/regime_select) + cross-strategy combine(): priority, weighting, vote, conflict -&gt; WAIT, NO_TRADE veto; enable/disable via lifecycle and mapping</t>
        </is>
      </c>
      <c r="M152" s="11" t="inlineStr">
        <is>
          <t>Allocator</t>
        </is>
      </c>
      <c r="N152" s="11" t="inlineStr">
        <is>
          <t>strategy_engine/selection.py; kinds.py</t>
        </is>
      </c>
      <c r="O152" s="11" t="inlineStr">
        <is>
          <t>SE-11</t>
        </is>
      </c>
      <c r="P152" s="11" t="inlineStr">
        <is>
          <t>2026-09-24</t>
        </is>
      </c>
      <c r="Q152" s="14" t="inlineStr"/>
      <c r="R152" s="14" t="inlineStr"/>
    </row>
    <row r="153">
      <c r="A153" s="11" t="n">
        <v>152</v>
      </c>
      <c r="B153" s="11" t="n">
        <v>3</v>
      </c>
      <c r="C153" s="11" t="inlineStr">
        <is>
          <t>Strategy Engine</t>
        </is>
      </c>
      <c r="D153" s="11" t="inlineStr">
        <is>
          <t>SE-08</t>
        </is>
      </c>
      <c r="E153" s="11" t="inlineStr">
        <is>
          <t>Strategy Engine</t>
        </is>
      </c>
      <c r="F153" s="11" t="inlineStr">
        <is>
          <t>Regime-aware selection</t>
        </is>
      </c>
      <c r="G153" s="12" t="inlineStr">
        <is>
          <t>COMPLETED</t>
        </is>
      </c>
      <c r="H153" s="13" t="n">
        <v>0.75</v>
      </c>
      <c r="I153" s="11" t="inlineStr"/>
      <c r="J153" s="11" t="inlineStr">
        <is>
          <t>Live (ATIP-W24-RC1)</t>
        </is>
      </c>
      <c r="K153" s="11" t="inlineStr"/>
      <c r="L153" s="11" t="inlineStr">
        <is>
          <t>Configurable regime mapping STRONG_BULL/BULL/NEUTRAL/BEAR/HIGH_RISK (+DEFAULT) -&gt; strategies or NO_TRADE; Market Health regime provider; default mapping seeded</t>
        </is>
      </c>
      <c r="M153" s="11" t="inlineStr">
        <is>
          <t>Regime-conditional allocation</t>
        </is>
      </c>
      <c r="N153" s="11" t="inlineStr">
        <is>
          <t>strategy_engine/selection.py; regime.py; library/regime_mapping.json</t>
        </is>
      </c>
      <c r="O153" s="11" t="inlineStr">
        <is>
          <t>SE-07; ML-05</t>
        </is>
      </c>
      <c r="P153" s="11" t="inlineStr">
        <is>
          <t>2026-09-24</t>
        </is>
      </c>
      <c r="Q153" s="14" t="inlineStr"/>
      <c r="R153" s="14" t="inlineStr"/>
    </row>
    <row r="154">
      <c r="A154" s="11" t="n">
        <v>153</v>
      </c>
      <c r="B154" s="11" t="n">
        <v>3</v>
      </c>
      <c r="C154" s="11" t="inlineStr">
        <is>
          <t>Strategy Engine</t>
        </is>
      </c>
      <c r="D154" s="11" t="inlineStr">
        <is>
          <t>SG-08</t>
        </is>
      </c>
      <c r="E154" s="11" t="inlineStr">
        <is>
          <t>Signal Engine</t>
        </is>
      </c>
      <c r="F154" s="11" t="inlineStr">
        <is>
          <t>Intraday scans</t>
        </is>
      </c>
      <c r="G154" s="15" t="inlineStr">
        <is>
          <t>IN PROGRESS</t>
        </is>
      </c>
      <c r="H154" s="13" t="n">
        <v>0.6</v>
      </c>
      <c r="I154" s="11" t="inlineStr"/>
      <c r="J154" s="11" t="inlineStr">
        <is>
          <t>—</t>
        </is>
      </c>
      <c r="K154" s="11" t="inlineStr">
        <is>
          <t>Development</t>
        </is>
      </c>
      <c r="L154" s="11" t="inlineStr">
        <is>
          <t>Scheduled 12:30 and 14:45</t>
        </is>
      </c>
      <c r="M154" s="11" t="inlineStr">
        <is>
          <t>Use stored intraday bars</t>
        </is>
      </c>
      <c r="N154" s="11" t="inlineStr">
        <is>
          <t>pipeline/scheduler.py</t>
        </is>
      </c>
      <c r="O154" s="11" t="inlineStr">
        <is>
          <t>DP-03</t>
        </is>
      </c>
      <c r="P154" s="11" t="inlineStr">
        <is>
          <t>2026-09-24</t>
        </is>
      </c>
      <c r="Q154" s="14" t="inlineStr"/>
      <c r="R154" s="14" t="inlineStr"/>
    </row>
    <row r="155">
      <c r="A155" s="11" t="n">
        <v>154</v>
      </c>
      <c r="B155" s="11" t="n">
        <v>3</v>
      </c>
      <c r="C155" s="11" t="inlineStr">
        <is>
          <t>Strategy Engine</t>
        </is>
      </c>
      <c r="D155" s="11" t="inlineStr">
        <is>
          <t>DB-11</t>
        </is>
      </c>
      <c r="E155" s="11" t="inlineStr">
        <is>
          <t>Dashboard</t>
        </is>
      </c>
      <c r="F155" s="11" t="inlineStr">
        <is>
          <t>Crash Risk + Top 25 SPI/MSI lists</t>
        </is>
      </c>
      <c r="G155" s="15" t="inlineStr">
        <is>
          <t>IN PROGRESS</t>
        </is>
      </c>
      <c r="H155" s="13" t="n">
        <v>0.4</v>
      </c>
      <c r="I155" s="11" t="inlineStr"/>
      <c r="J155" s="11" t="inlineStr">
        <is>
          <t>—</t>
        </is>
      </c>
      <c r="K155" s="11" t="inlineStr">
        <is>
          <t>Development</t>
        </is>
      </c>
      <c r="L155" s="11" t="inlineStr">
        <is>
          <t>CRI per-stock column only</t>
        </is>
      </c>
      <c r="M155" s="11" t="inlineStr">
        <is>
          <t>Dedicated lists</t>
        </is>
      </c>
      <c r="N155" s="11" t="inlineStr">
        <is>
          <t>dashboard/server.py</t>
        </is>
      </c>
      <c r="O155" s="11" t="inlineStr"/>
      <c r="P155" s="11" t="inlineStr">
        <is>
          <t>2026-09-24</t>
        </is>
      </c>
      <c r="Q155" s="14" t="inlineStr"/>
      <c r="R155" s="14" t="inlineStr"/>
    </row>
    <row r="156">
      <c r="A156" s="11" t="n">
        <v>155</v>
      </c>
      <c r="B156" s="11" t="n">
        <v>3</v>
      </c>
      <c r="C156" s="11" t="inlineStr">
        <is>
          <t>Strategy Engine</t>
        </is>
      </c>
      <c r="D156" s="11" t="inlineStr">
        <is>
          <t>DB-16</t>
        </is>
      </c>
      <c r="E156" s="11" t="inlineStr">
        <is>
          <t>Dashboard</t>
        </is>
      </c>
      <c r="F156" s="11" t="inlineStr">
        <is>
          <t>Strategy performance panel</t>
        </is>
      </c>
      <c r="G156" s="15" t="inlineStr">
        <is>
          <t>IN PROGRESS</t>
        </is>
      </c>
      <c r="H156" s="13" t="n">
        <v>0.3</v>
      </c>
      <c r="I156" s="11" t="inlineStr"/>
      <c r="J156" s="11" t="inlineStr">
        <is>
          <t>—</t>
        </is>
      </c>
      <c r="K156" s="11" t="inlineStr">
        <is>
          <t>Development</t>
        </is>
      </c>
      <c r="L156" s="11" t="inlineStr">
        <is>
          <t>/strategies list shows latest signals; per-strategy P&amp;L from W4 fills on /trading</t>
        </is>
      </c>
      <c r="M156" s="11" t="inlineStr">
        <is>
          <t>Performance panel</t>
        </is>
      </c>
      <c r="N156" s="11" t="inlineStr">
        <is>
          <t>dashboard/strategy_page.py; dashboard/execution_page.py</t>
        </is>
      </c>
      <c r="O156" s="11" t="inlineStr">
        <is>
          <t>SE-11</t>
        </is>
      </c>
      <c r="P156" s="11" t="inlineStr">
        <is>
          <t>2026-09-25</t>
        </is>
      </c>
      <c r="Q156" s="14" t="inlineStr"/>
      <c r="R156" s="14" t="inlineStr"/>
    </row>
    <row r="157">
      <c r="A157" s="11" t="n">
        <v>156</v>
      </c>
      <c r="B157" s="11" t="n">
        <v>4</v>
      </c>
      <c r="C157" s="11" t="inlineStr">
        <is>
          <t>AI/ML</t>
        </is>
      </c>
      <c r="D157" s="11" t="inlineStr">
        <is>
          <t>ML-13</t>
        </is>
      </c>
      <c r="E157" s="11" t="inlineStr">
        <is>
          <t>AI/ML</t>
        </is>
      </c>
      <c r="F157" s="11" t="inlineStr">
        <is>
          <t>Labels/targets</t>
        </is>
      </c>
      <c r="G157" s="12" t="inlineStr">
        <is>
          <t>COMPLETED</t>
        </is>
      </c>
      <c r="H157" s="13" t="n">
        <v>0.85</v>
      </c>
      <c r="I157" s="11" t="inlineStr"/>
      <c r="J157" s="11" t="inlineStr">
        <is>
          <t>Live (ATIP-W24-RC1)</t>
        </is>
      </c>
      <c r="K157" s="11" t="inlineStr"/>
      <c r="L157" s="11" t="inlineStr">
        <is>
          <t>ml/labels.py: direction, binary_return, forward_return, return_rank, volatility_regime, market_regime, signal_outcome; ml_label definitions; computed only from bars after t</t>
        </is>
      </c>
      <c r="M157" s="11" t="inlineStr">
        <is>
          <t>Validate</t>
        </is>
      </c>
      <c r="N157" s="11" t="inlineStr">
        <is>
          <t>ml/labels.py</t>
        </is>
      </c>
      <c r="O157" s="11" t="inlineStr">
        <is>
          <t>AF-03</t>
        </is>
      </c>
      <c r="P157" s="11" t="inlineStr">
        <is>
          <t>2026-09-25</t>
        </is>
      </c>
      <c r="Q157" s="14" t="inlineStr"/>
      <c r="R157" s="14" t="inlineStr"/>
    </row>
    <row r="158">
      <c r="A158" s="11" t="n">
        <v>157</v>
      </c>
      <c r="B158" s="11" t="n">
        <v>4</v>
      </c>
      <c r="C158" s="11" t="inlineStr">
        <is>
          <t>AI/ML</t>
        </is>
      </c>
      <c r="D158" s="11" t="inlineStr">
        <is>
          <t>ML-07</t>
        </is>
      </c>
      <c r="E158" s="11" t="inlineStr">
        <is>
          <t>AI/ML</t>
        </is>
      </c>
      <c r="F158" s="11" t="inlineStr">
        <is>
          <t>Feature selection</t>
        </is>
      </c>
      <c r="G158" s="16" t="inlineStr">
        <is>
          <t>IMPLEMENTED BUT NOT VERIFIED</t>
        </is>
      </c>
      <c r="H158" s="13" t="n">
        <v>0.8</v>
      </c>
      <c r="I158" s="11" t="inlineStr">
        <is>
          <t>W24</t>
        </is>
      </c>
      <c r="J158" s="11" t="inlineStr">
        <is>
          <t>Live (ATIP-W24-RC1)</t>
        </is>
      </c>
      <c r="K158" s="11" t="inlineStr">
        <is>
          <t>Independent QA</t>
        </is>
      </c>
      <c r="L158" s="11" t="inlineStr">
        <is>
          <t>W24: importance-stability selection -&gt; new feature-set version</t>
        </is>
      </c>
      <c r="M158" s="11" t="inlineStr">
        <is>
          <t>QA</t>
        </is>
      </c>
      <c r="N158" s="11" t="inlineStr">
        <is>
          <t>ml/selection.py</t>
        </is>
      </c>
      <c r="O158" s="11" t="inlineStr">
        <is>
          <t>ML-13; QR-01</t>
        </is>
      </c>
      <c r="P158" s="11" t="inlineStr">
        <is>
          <t>2026-09-27</t>
        </is>
      </c>
      <c r="Q158" s="14" t="inlineStr"/>
      <c r="R158" s="14" t="inlineStr"/>
    </row>
    <row r="159">
      <c r="A159" s="11" t="n">
        <v>158</v>
      </c>
      <c r="B159" s="11" t="n">
        <v>4</v>
      </c>
      <c r="C159" s="11" t="inlineStr">
        <is>
          <t>AI/ML</t>
        </is>
      </c>
      <c r="D159" s="11" t="inlineStr">
        <is>
          <t>ML-08</t>
        </is>
      </c>
      <c r="E159" s="11" t="inlineStr">
        <is>
          <t>AI/ML</t>
        </is>
      </c>
      <c r="F159" s="11" t="inlineStr">
        <is>
          <t>Model validation</t>
        </is>
      </c>
      <c r="G159" s="16" t="inlineStr">
        <is>
          <t>IMPLEMENTED BUT NOT VERIFIED</t>
        </is>
      </c>
      <c r="H159" s="13" t="n">
        <v>0.85</v>
      </c>
      <c r="I159" s="11" t="inlineStr">
        <is>
          <t>W24</t>
        </is>
      </c>
      <c r="J159" s="11" t="inlineStr">
        <is>
          <t>Live (ATIP-W24-RC1)</t>
        </is>
      </c>
      <c r="K159" s="11" t="inlineStr">
        <is>
          <t>Independent QA</t>
        </is>
      </c>
      <c r="L159" s="11" t="inlineStr">
        <is>
          <t>W24: purged expanding walk-forward reports vs baselines, IC, calibration, verdict</t>
        </is>
      </c>
      <c r="M159" s="11" t="inlineStr">
        <is>
          <t>QA</t>
        </is>
      </c>
      <c r="N159" s="11" t="inlineStr">
        <is>
          <t>ml/validation.py</t>
        </is>
      </c>
      <c r="O159" s="11" t="inlineStr">
        <is>
          <t>ML-13; BT-02</t>
        </is>
      </c>
      <c r="P159" s="11" t="inlineStr">
        <is>
          <t>2026-09-27</t>
        </is>
      </c>
      <c r="Q159" s="14" t="inlineStr"/>
      <c r="R159" s="14" t="inlineStr"/>
    </row>
    <row r="160">
      <c r="A160" s="11" t="n">
        <v>159</v>
      </c>
      <c r="B160" s="11" t="n">
        <v>4</v>
      </c>
      <c r="C160" s="11" t="inlineStr">
        <is>
          <t>AI/ML</t>
        </is>
      </c>
      <c r="D160" s="11" t="inlineStr">
        <is>
          <t>ML-01</t>
        </is>
      </c>
      <c r="E160" s="11" t="inlineStr">
        <is>
          <t>AI/ML</t>
        </is>
      </c>
      <c r="F160" s="11" t="inlineStr">
        <is>
          <t>Supervised ML</t>
        </is>
      </c>
      <c r="G160" s="16" t="inlineStr">
        <is>
          <t>IMPLEMENTED BUT NOT VERIFIED</t>
        </is>
      </c>
      <c r="H160" s="13" t="n">
        <v>0.8</v>
      </c>
      <c r="I160" s="11" t="inlineStr">
        <is>
          <t>W24</t>
        </is>
      </c>
      <c r="J160" s="11" t="inlineStr">
        <is>
          <t>Live (ATIP-W24-RC1)</t>
        </is>
      </c>
      <c r="K160" s="11" t="inlineStr">
        <is>
          <t>Independent QA</t>
        </is>
      </c>
      <c r="L160" s="11" t="inlineStr">
        <is>
          <t>W24: native numpy GBM + random forest; bootstrap trains + validates first models (TRAINED, not ACTIVE); real-data smoke: NO_EDGE on 5-day direction</t>
        </is>
      </c>
      <c r="M160" s="11" t="inlineStr">
        <is>
          <t>Richer features / labels; full-universe validation</t>
        </is>
      </c>
      <c r="N160" s="11" t="inlineStr">
        <is>
          <t>ml/trees.py; ml/presets.py</t>
        </is>
      </c>
      <c r="O160" s="11" t="inlineStr">
        <is>
          <t>ML-08</t>
        </is>
      </c>
      <c r="P160" s="11" t="inlineStr">
        <is>
          <t>2026-09-27</t>
        </is>
      </c>
      <c r="Q160" s="14" t="inlineStr"/>
      <c r="R160" s="14" t="inlineStr"/>
    </row>
    <row r="161">
      <c r="A161" s="11" t="n">
        <v>160</v>
      </c>
      <c r="B161" s="11" t="n">
        <v>4</v>
      </c>
      <c r="C161" s="11" t="inlineStr">
        <is>
          <t>AI/ML</t>
        </is>
      </c>
      <c r="D161" s="11" t="inlineStr">
        <is>
          <t>ML-12</t>
        </is>
      </c>
      <c r="E161" s="11" t="inlineStr">
        <is>
          <t>AI/ML</t>
        </is>
      </c>
      <c r="F161" s="11" t="inlineStr">
        <is>
          <t>Model registry/versioning</t>
        </is>
      </c>
      <c r="G161" s="12" t="inlineStr">
        <is>
          <t>COMPLETED</t>
        </is>
      </c>
      <c r="H161" s="13" t="n">
        <v>0.85</v>
      </c>
      <c r="I161" s="11" t="inlineStr"/>
      <c r="J161" s="11" t="inlineStr">
        <is>
          <t>Live (ATIP-W24-RC1)</t>
        </is>
      </c>
      <c r="K161" s="11" t="inlineStr"/>
      <c r="L161" s="11" t="inlineStr">
        <is>
          <t>ml_model / ml_model_version with feature-set, dataset, config and artifact hashes; immutable artifacts; lifecycle</t>
        </is>
      </c>
      <c r="M161" s="11" t="inlineStr">
        <is>
          <t>Validate</t>
        </is>
      </c>
      <c r="N161" s="11" t="inlineStr">
        <is>
          <t>ml/registry.py; ml/artifacts.py</t>
        </is>
      </c>
      <c r="O161" s="11" t="inlineStr">
        <is>
          <t>ML-01; DBS-07</t>
        </is>
      </c>
      <c r="P161" s="11" t="inlineStr">
        <is>
          <t>2026-09-25</t>
        </is>
      </c>
      <c r="Q161" s="14" t="inlineStr"/>
      <c r="R161" s="14" t="inlineStr"/>
    </row>
    <row r="162">
      <c r="A162" s="11" t="n">
        <v>161</v>
      </c>
      <c r="B162" s="11" t="n">
        <v>4</v>
      </c>
      <c r="C162" s="11" t="inlineStr">
        <is>
          <t>AI/ML</t>
        </is>
      </c>
      <c r="D162" s="11" t="inlineStr">
        <is>
          <t>ML-11</t>
        </is>
      </c>
      <c r="E162" s="11" t="inlineStr">
        <is>
          <t>AI/ML</t>
        </is>
      </c>
      <c r="F162" s="11" t="inlineStr">
        <is>
          <t>Ensemble models</t>
        </is>
      </c>
      <c r="G162" s="16" t="inlineStr">
        <is>
          <t>IMPLEMENTED BUT NOT VERIFIED</t>
        </is>
      </c>
      <c r="H162" s="13" t="n">
        <v>0.8</v>
      </c>
      <c r="I162" s="11" t="inlineStr">
        <is>
          <t>W24</t>
        </is>
      </c>
      <c r="J162" s="11" t="inlineStr">
        <is>
          <t>Live (ATIP-W24-RC1)</t>
        </is>
      </c>
      <c r="K162" s="11" t="inlineStr">
        <is>
          <t>Independent QA</t>
        </is>
      </c>
      <c r="L162" s="11" t="inlineStr">
        <is>
          <t>W24: ensemble model type blended by held-out loss</t>
        </is>
      </c>
      <c r="M162" s="11" t="inlineStr">
        <is>
          <t>QA</t>
        </is>
      </c>
      <c r="N162" s="11" t="inlineStr">
        <is>
          <t>ml/trees.py</t>
        </is>
      </c>
      <c r="O162" s="11" t="inlineStr">
        <is>
          <t>ML-01</t>
        </is>
      </c>
      <c r="P162" s="11" t="inlineStr">
        <is>
          <t>2026-09-27</t>
        </is>
      </c>
      <c r="Q162" s="14" t="inlineStr"/>
      <c r="R162" s="14" t="inlineStr"/>
    </row>
    <row r="163">
      <c r="A163" s="11" t="n">
        <v>162</v>
      </c>
      <c r="B163" s="11" t="n">
        <v>4</v>
      </c>
      <c r="C163" s="11" t="inlineStr">
        <is>
          <t>AI/ML</t>
        </is>
      </c>
      <c r="D163" s="11" t="inlineStr">
        <is>
          <t>ML-09</t>
        </is>
      </c>
      <c r="E163" s="11" t="inlineStr">
        <is>
          <t>AI/ML</t>
        </is>
      </c>
      <c r="F163" s="11" t="inlineStr">
        <is>
          <t>Model monitoring/drift</t>
        </is>
      </c>
      <c r="G163" s="16" t="inlineStr">
        <is>
          <t>IMPLEMENTED BUT NOT VERIFIED</t>
        </is>
      </c>
      <c r="H163" s="13" t="n">
        <v>0.8</v>
      </c>
      <c r="I163" s="11" t="inlineStr">
        <is>
          <t>W24</t>
        </is>
      </c>
      <c r="J163" s="11" t="inlineStr">
        <is>
          <t>Live (ATIP-W24-RC1)</t>
        </is>
      </c>
      <c r="K163" s="11" t="inlineStr">
        <is>
          <t>Independent QA</t>
        </is>
      </c>
      <c r="L163" s="11" t="inlineStr">
        <is>
          <t>W24: drift (PSI share) + realised decay alerts, ml_health_check, monitor rule</t>
        </is>
      </c>
      <c r="M163" s="11" t="inlineStr">
        <is>
          <t>QA</t>
        </is>
      </c>
      <c r="N163" s="11" t="inlineStr">
        <is>
          <t>ml/decay.py; ops/monitor.py</t>
        </is>
      </c>
      <c r="O163" s="11" t="inlineStr">
        <is>
          <t>ML-12</t>
        </is>
      </c>
      <c r="P163" s="11" t="inlineStr">
        <is>
          <t>2026-09-27</t>
        </is>
      </c>
      <c r="Q163" s="14" t="inlineStr"/>
      <c r="R163" s="14" t="inlineStr"/>
    </row>
    <row r="164">
      <c r="A164" s="11" t="n">
        <v>163</v>
      </c>
      <c r="B164" s="11" t="n">
        <v>4</v>
      </c>
      <c r="C164" s="11" t="inlineStr">
        <is>
          <t>AI/ML</t>
        </is>
      </c>
      <c r="D164" s="11" t="inlineStr">
        <is>
          <t>ML-10</t>
        </is>
      </c>
      <c r="E164" s="11" t="inlineStr">
        <is>
          <t>AI/ML</t>
        </is>
      </c>
      <c r="F164" s="11" t="inlineStr">
        <is>
          <t>Explainability</t>
        </is>
      </c>
      <c r="G164" s="16" t="inlineStr">
        <is>
          <t>IMPLEMENTED BUT NOT VERIFIED</t>
        </is>
      </c>
      <c r="H164" s="13" t="n">
        <v>0.85</v>
      </c>
      <c r="I164" s="11" t="inlineStr">
        <is>
          <t>W24</t>
        </is>
      </c>
      <c r="J164" s="11" t="inlineStr">
        <is>
          <t>Live (ATIP-W24-RC1)</t>
        </is>
      </c>
      <c r="K164" s="11" t="inlineStr">
        <is>
          <t>Independent QA</t>
        </is>
      </c>
      <c r="L164" s="11" t="inlineStr">
        <is>
          <t>W24: exact path contributions for trees, gain importances, out-of-sample permutation importance</t>
        </is>
      </c>
      <c r="M164" s="11" t="inlineStr">
        <is>
          <t>QA</t>
        </is>
      </c>
      <c r="N164" s="11" t="inlineStr">
        <is>
          <t>ml/trees.py; ml/validation.py</t>
        </is>
      </c>
      <c r="O164" s="11" t="inlineStr">
        <is>
          <t>ML-01</t>
        </is>
      </c>
      <c r="P164" s="11" t="inlineStr">
        <is>
          <t>2026-09-27</t>
        </is>
      </c>
      <c r="Q164" s="14" t="inlineStr"/>
      <c r="R164" s="14" t="inlineStr"/>
    </row>
    <row r="165">
      <c r="A165" s="11" t="n">
        <v>164</v>
      </c>
      <c r="B165" s="11" t="n">
        <v>4</v>
      </c>
      <c r="C165" s="11" t="inlineStr">
        <is>
          <t>AI/ML</t>
        </is>
      </c>
      <c r="D165" s="11" t="inlineStr">
        <is>
          <t>ML-05</t>
        </is>
      </c>
      <c r="E165" s="11" t="inlineStr">
        <is>
          <t>AI/ML</t>
        </is>
      </c>
      <c r="F165" s="11" t="inlineStr">
        <is>
          <t>Regime detection</t>
        </is>
      </c>
      <c r="G165" s="16" t="inlineStr">
        <is>
          <t>IMPLEMENTED BUT NOT VERIFIED</t>
        </is>
      </c>
      <c r="H165" s="13" t="n">
        <v>0.75</v>
      </c>
      <c r="I165" s="11" t="inlineStr">
        <is>
          <t>W24</t>
        </is>
      </c>
      <c r="J165" s="11" t="inlineStr">
        <is>
          <t>Live (ATIP-W24-RC1)</t>
        </is>
      </c>
      <c r="K165" s="11" t="inlineStr">
        <is>
          <t>Independent QA; Owner: Regime provider (after evidence)</t>
        </is>
      </c>
      <c r="L165" s="11" t="inlineStr">
        <is>
          <t>W24: market_regime model preset validated + trained (NO_EDGE on smoke)</t>
        </is>
      </c>
      <c r="M165" s="11" t="inlineStr">
        <is>
          <t>Owner decides regime provider after evidence</t>
        </is>
      </c>
      <c r="N165" s="11" t="inlineStr">
        <is>
          <t>ml/presets.py</t>
        </is>
      </c>
      <c r="O165" s="11" t="inlineStr">
        <is>
          <t>SC-09</t>
        </is>
      </c>
      <c r="P165" s="11" t="inlineStr">
        <is>
          <t>2026-09-27</t>
        </is>
      </c>
      <c r="Q165" s="14" t="inlineStr"/>
      <c r="R165" s="14" t="inlineStr"/>
    </row>
    <row r="166">
      <c r="A166" s="11" t="n">
        <v>165</v>
      </c>
      <c r="B166" s="11" t="n">
        <v>4</v>
      </c>
      <c r="C166" s="11" t="inlineStr">
        <is>
          <t>AI/ML</t>
        </is>
      </c>
      <c r="D166" s="11" t="inlineStr">
        <is>
          <t>ML-03</t>
        </is>
      </c>
      <c r="E166" s="11" t="inlineStr">
        <is>
          <t>AI/ML</t>
        </is>
      </c>
      <c r="F166" s="11" t="inlineStr">
        <is>
          <t>Unsupervised learning</t>
        </is>
      </c>
      <c r="G166" s="16" t="inlineStr">
        <is>
          <t>IMPLEMENTED BUT NOT VERIFIED</t>
        </is>
      </c>
      <c r="H166" s="13" t="n">
        <v>0.75</v>
      </c>
      <c r="I166" s="11" t="inlineStr">
        <is>
          <t>W24</t>
        </is>
      </c>
      <c r="J166" s="11" t="inlineStr">
        <is>
          <t>Live (ATIP-W24-RC1)</t>
        </is>
      </c>
      <c r="K166" s="11" t="inlineStr">
        <is>
          <t>Independent QA</t>
        </is>
      </c>
      <c r="L166" s="11" t="inlineStr">
        <is>
          <t>W24: k-means++ factor clusters with profiles; return PCA</t>
        </is>
      </c>
      <c r="M166" s="11" t="inlineStr">
        <is>
          <t>QA</t>
        </is>
      </c>
      <c r="N166" s="11" t="inlineStr">
        <is>
          <t>ml/unsupervised.py</t>
        </is>
      </c>
      <c r="O166" s="11" t="inlineStr">
        <is>
          <t>AF-03</t>
        </is>
      </c>
      <c r="P166" s="11" t="inlineStr">
        <is>
          <t>2026-09-27</t>
        </is>
      </c>
      <c r="Q166" s="14" t="inlineStr"/>
      <c r="R166" s="14" t="inlineStr"/>
    </row>
    <row r="167">
      <c r="A167" s="11" t="n">
        <v>166</v>
      </c>
      <c r="B167" s="11" t="n">
        <v>4</v>
      </c>
      <c r="C167" s="11" t="inlineStr">
        <is>
          <t>AI/ML</t>
        </is>
      </c>
      <c r="D167" s="11" t="inlineStr">
        <is>
          <t>ML-06</t>
        </is>
      </c>
      <c r="E167" s="11" t="inlineStr">
        <is>
          <t>AI/ML</t>
        </is>
      </c>
      <c r="F167" s="11" t="inlineStr">
        <is>
          <t>Anomaly detection</t>
        </is>
      </c>
      <c r="G167" s="16" t="inlineStr">
        <is>
          <t>IMPLEMENTED BUT NOT VERIFIED</t>
        </is>
      </c>
      <c r="H167" s="13" t="n">
        <v>0.75</v>
      </c>
      <c r="I167" s="11" t="inlineStr">
        <is>
          <t>W24</t>
        </is>
      </c>
      <c r="J167" s="11" t="inlineStr">
        <is>
          <t>Live (ATIP-W24-RC1)</t>
        </is>
      </c>
      <c r="K167" s="11" t="inlineStr">
        <is>
          <t>Independent QA; Owner: ml.anomalies_enabled</t>
        </is>
      </c>
      <c r="L167" s="11" t="inlineStr">
        <is>
          <t>W24: robust-z + multivariate anomaly scan, CA-explained, post-market (flag off)</t>
        </is>
      </c>
      <c r="M167" s="11" t="inlineStr">
        <is>
          <t>Owner: ml.anomalies_enabled</t>
        </is>
      </c>
      <c r="N167" s="11" t="inlineStr">
        <is>
          <t>ml/unsupervised.py</t>
        </is>
      </c>
      <c r="O167" s="11" t="inlineStr">
        <is>
          <t>DP-19</t>
        </is>
      </c>
      <c r="P167" s="11" t="inlineStr">
        <is>
          <t>2026-09-27</t>
        </is>
      </c>
      <c r="Q167" s="14" t="inlineStr"/>
      <c r="R167" s="14" t="inlineStr"/>
    </row>
    <row r="168">
      <c r="A168" s="11" t="n">
        <v>167</v>
      </c>
      <c r="B168" s="11" t="n">
        <v>4</v>
      </c>
      <c r="C168" s="11" t="inlineStr">
        <is>
          <t>AI/ML</t>
        </is>
      </c>
      <c r="D168" s="11" t="inlineStr">
        <is>
          <t>SE-05</t>
        </is>
      </c>
      <c r="E168" s="11" t="inlineStr">
        <is>
          <t>Strategy Engine</t>
        </is>
      </c>
      <c r="F168" s="11" t="inlineStr">
        <is>
          <t>AI-driven strategies</t>
        </is>
      </c>
      <c r="G168" s="15" t="inlineStr">
        <is>
          <t>IN PROGRESS</t>
        </is>
      </c>
      <c r="H168" s="13" t="n">
        <v>0.6</v>
      </c>
      <c r="I168" s="11" t="inlineStr"/>
      <c r="J168" s="11" t="inlineStr">
        <is>
          <t>—</t>
        </is>
      </c>
      <c r="K168" s="11" t="inlineStr">
        <is>
          <t>Owner: Activate a model (after evidence)</t>
        </is>
      </c>
      <c r="L168" s="11" t="inlineStr">
        <is>
          <t>ml_* strategy features (point in time, out of sample); ml_direction / atip_ml_blend (DRAFT); W4 risk check ml_model_active blocks signals of non-ACTIVE models</t>
        </is>
      </c>
      <c r="M168" s="11" t="inlineStr">
        <is>
          <t>Activate once a model is ACTIVE</t>
        </is>
      </c>
      <c r="N168" s="11" t="inlineStr">
        <is>
          <t>ml/strategy_features.py; execution/risk_engine.py; strategy_engine/library/50_*,51_*</t>
        </is>
      </c>
      <c r="O168" s="11" t="inlineStr">
        <is>
          <t>ML-01; SE-01</t>
        </is>
      </c>
      <c r="P168" s="11" t="inlineStr">
        <is>
          <t>2026-09-25</t>
        </is>
      </c>
      <c r="Q168" s="14" t="inlineStr"/>
      <c r="R168" s="14" t="inlineStr"/>
    </row>
    <row r="169">
      <c r="A169" s="11" t="n">
        <v>168</v>
      </c>
      <c r="B169" s="11" t="n">
        <v>4</v>
      </c>
      <c r="C169" s="11" t="inlineStr">
        <is>
          <t>AI/ML</t>
        </is>
      </c>
      <c r="D169" s="11" t="inlineStr">
        <is>
          <t>NS-02</t>
        </is>
      </c>
      <c r="E169" s="11" t="inlineStr">
        <is>
          <t>News/Sentiment</t>
        </is>
      </c>
      <c r="F169" s="11" t="inlineStr">
        <is>
          <t>News classification</t>
        </is>
      </c>
      <c r="G169" s="15" t="inlineStr">
        <is>
          <t>IN PROGRESS</t>
        </is>
      </c>
      <c r="H169" s="13" t="n">
        <v>0.3</v>
      </c>
      <c r="I169" s="11" t="inlineStr"/>
      <c r="J169" s="11" t="inlineStr">
        <is>
          <t>—</t>
        </is>
      </c>
      <c r="K169" s="11" t="inlineStr">
        <is>
          <t>Owner: Provide a working Anthropic API key (current key 401)</t>
        </is>
      </c>
      <c r="L169" s="11" t="inlineStr">
        <is>
          <t>Claude classifier coded; key unset</t>
        </is>
      </c>
      <c r="M169" s="11" t="inlineStr">
        <is>
          <t>Set key; taxonomy; cost cap</t>
        </is>
      </c>
      <c r="N169" s="11" t="inlineStr">
        <is>
          <t>data/news.py</t>
        </is>
      </c>
      <c r="O169" s="11" t="inlineStr"/>
      <c r="P169" s="11" t="inlineStr">
        <is>
          <t>2026-09-24</t>
        </is>
      </c>
      <c r="Q169" s="14" t="inlineStr"/>
      <c r="R169" s="14" t="inlineStr"/>
    </row>
    <row r="170">
      <c r="A170" s="11" t="n">
        <v>169</v>
      </c>
      <c r="B170" s="11" t="n">
        <v>4</v>
      </c>
      <c r="C170" s="11" t="inlineStr">
        <is>
          <t>AI/ML</t>
        </is>
      </c>
      <c r="D170" s="11" t="inlineStr">
        <is>
          <t>NS-03</t>
        </is>
      </c>
      <c r="E170" s="11" t="inlineStr">
        <is>
          <t>News/Sentiment</t>
        </is>
      </c>
      <c r="F170" s="11" t="inlineStr">
        <is>
          <t>Sentiment + confidence</t>
        </is>
      </c>
      <c r="G170" s="15" t="inlineStr">
        <is>
          <t>IN PROGRESS</t>
        </is>
      </c>
      <c r="H170" s="13" t="n">
        <v>0.4</v>
      </c>
      <c r="I170" s="11" t="inlineStr"/>
      <c r="J170" s="11" t="inlineStr">
        <is>
          <t>—</t>
        </is>
      </c>
      <c r="K170" s="11" t="inlineStr">
        <is>
          <t>Development</t>
        </is>
      </c>
      <c r="L170" s="11" t="inlineStr">
        <is>
          <t>Rule-based; confidence frozen 50</t>
        </is>
      </c>
      <c r="M170" s="11" t="inlineStr">
        <is>
          <t>Model-based scoring</t>
        </is>
      </c>
      <c r="N170" s="11" t="inlineStr">
        <is>
          <t>data/news.py</t>
        </is>
      </c>
      <c r="O170" s="11" t="inlineStr">
        <is>
          <t>NS-02</t>
        </is>
      </c>
      <c r="P170" s="11" t="inlineStr">
        <is>
          <t>2026-09-24</t>
        </is>
      </c>
      <c r="Q170" s="14" t="inlineStr"/>
      <c r="R170" s="14" t="inlineStr"/>
    </row>
    <row r="171">
      <c r="A171" s="11" t="n">
        <v>170</v>
      </c>
      <c r="B171" s="11" t="n">
        <v>4</v>
      </c>
      <c r="C171" s="11" t="inlineStr">
        <is>
          <t>AI/ML</t>
        </is>
      </c>
      <c r="D171" s="11" t="inlineStr">
        <is>
          <t>NS-05</t>
        </is>
      </c>
      <c r="E171" s="11" t="inlineStr">
        <is>
          <t>News/Sentiment</t>
        </is>
      </c>
      <c r="F171" s="11" t="inlineStr">
        <is>
          <t>Novelty/decay/source weighting</t>
        </is>
      </c>
      <c r="G171" s="17" t="inlineStr">
        <is>
          <t>YET TO START</t>
        </is>
      </c>
      <c r="H171" s="13" t="n">
        <v>0.05</v>
      </c>
      <c r="I171" s="11" t="inlineStr"/>
      <c r="J171" s="11" t="inlineStr">
        <is>
          <t>—</t>
        </is>
      </c>
      <c r="K171" s="11" t="inlineStr">
        <is>
          <t>Development</t>
        </is>
      </c>
      <c r="L171" s="11" t="inlineStr">
        <is>
          <t>None</t>
        </is>
      </c>
      <c r="M171" s="11" t="inlineStr">
        <is>
          <t>Implement</t>
        </is>
      </c>
      <c r="N171" s="11" t="inlineStr">
        <is>
          <t>data/news.py</t>
        </is>
      </c>
      <c r="O171" s="11" t="inlineStr">
        <is>
          <t>NS-03</t>
        </is>
      </c>
      <c r="P171" s="11" t="inlineStr">
        <is>
          <t>2026-09-24</t>
        </is>
      </c>
      <c r="Q171" s="14" t="inlineStr"/>
      <c r="R171" s="14" t="inlineStr"/>
    </row>
    <row r="172">
      <c r="A172" s="11" t="n">
        <v>171</v>
      </c>
      <c r="B172" s="11" t="n">
        <v>4</v>
      </c>
      <c r="C172" s="11" t="inlineStr">
        <is>
          <t>AI/ML</t>
        </is>
      </c>
      <c r="D172" s="11" t="inlineStr">
        <is>
          <t>NS-04</t>
        </is>
      </c>
      <c r="E172" s="11" t="inlineStr">
        <is>
          <t>News/Sentiment</t>
        </is>
      </c>
      <c r="F172" s="11" t="inlineStr">
        <is>
          <t>AI news summary</t>
        </is>
      </c>
      <c r="G172" s="15" t="inlineStr">
        <is>
          <t>IN PROGRESS</t>
        </is>
      </c>
      <c r="H172" s="13" t="n">
        <v>0.5</v>
      </c>
      <c r="I172" s="11" t="inlineStr"/>
      <c r="J172" s="11" t="inlineStr">
        <is>
          <t>—</t>
        </is>
      </c>
      <c r="K172" s="11" t="inlineStr">
        <is>
          <t>Development</t>
        </is>
      </c>
      <c r="L172" s="11" t="inlineStr">
        <is>
          <t>Headline list</t>
        </is>
      </c>
      <c r="M172" s="11" t="inlineStr">
        <is>
          <t>LLM summary</t>
        </is>
      </c>
      <c r="N172" s="11" t="inlineStr">
        <is>
          <t>dashboard/server.py</t>
        </is>
      </c>
      <c r="O172" s="11" t="inlineStr">
        <is>
          <t>NS-02</t>
        </is>
      </c>
      <c r="P172" s="11" t="inlineStr">
        <is>
          <t>2026-09-24</t>
        </is>
      </c>
      <c r="Q172" s="14" t="inlineStr"/>
      <c r="R172" s="14" t="inlineStr"/>
    </row>
    <row r="173">
      <c r="A173" s="11" t="n">
        <v>172</v>
      </c>
      <c r="B173" s="11" t="n">
        <v>4</v>
      </c>
      <c r="C173" s="11" t="inlineStr">
        <is>
          <t>AI/ML</t>
        </is>
      </c>
      <c r="D173" s="11" t="inlineStr">
        <is>
          <t>DB-06</t>
        </is>
      </c>
      <c r="E173" s="11" t="inlineStr">
        <is>
          <t>Dashboard</t>
        </is>
      </c>
      <c r="F173" s="11" t="inlineStr">
        <is>
          <t>AI News Summary panel</t>
        </is>
      </c>
      <c r="G173" s="15" t="inlineStr">
        <is>
          <t>IN PROGRESS</t>
        </is>
      </c>
      <c r="H173" s="13" t="n">
        <v>0.5</v>
      </c>
      <c r="I173" s="11" t="inlineStr"/>
      <c r="J173" s="11" t="inlineStr">
        <is>
          <t>—</t>
        </is>
      </c>
      <c r="K173" s="11" t="inlineStr">
        <is>
          <t>Development</t>
        </is>
      </c>
      <c r="L173" s="11" t="inlineStr">
        <is>
          <t>News panel (rule-based)</t>
        </is>
      </c>
      <c r="M173" s="11" t="inlineStr">
        <is>
          <t>Show AI summary</t>
        </is>
      </c>
      <c r="N173" s="11" t="inlineStr">
        <is>
          <t>dashboard/server.py</t>
        </is>
      </c>
      <c r="O173" s="11" t="inlineStr">
        <is>
          <t>NS-04</t>
        </is>
      </c>
      <c r="P173" s="11" t="inlineStr">
        <is>
          <t>2026-09-24</t>
        </is>
      </c>
      <c r="Q173" s="14" t="inlineStr"/>
      <c r="R173" s="14" t="inlineStr"/>
    </row>
    <row r="174">
      <c r="A174" s="11" t="n">
        <v>173</v>
      </c>
      <c r="B174" s="11" t="n">
        <v>4</v>
      </c>
      <c r="C174" s="11" t="inlineStr">
        <is>
          <t>AI/ML</t>
        </is>
      </c>
      <c r="D174" s="11" t="inlineStr">
        <is>
          <t>NS-06</t>
        </is>
      </c>
      <c r="E174" s="11" t="inlineStr">
        <is>
          <t>News/Sentiment</t>
        </is>
      </c>
      <c r="F174" s="11" t="inlineStr">
        <is>
          <t>Earnings call / announcement NLP</t>
        </is>
      </c>
      <c r="G174" s="17" t="inlineStr">
        <is>
          <t>YET TO START</t>
        </is>
      </c>
      <c r="H174" s="13" t="n">
        <v>0</v>
      </c>
      <c r="I174" s="11" t="inlineStr"/>
      <c r="J174" s="11" t="inlineStr">
        <is>
          <t>—</t>
        </is>
      </c>
      <c r="K174" s="11" t="inlineStr">
        <is>
          <t>Development</t>
        </is>
      </c>
      <c r="L174" s="11" t="inlineStr">
        <is>
          <t>None</t>
        </is>
      </c>
      <c r="M174" s="11" t="inlineStr">
        <is>
          <t>Implement</t>
        </is>
      </c>
      <c r="N174" s="11" t="inlineStr">
        <is>
          <t>—</t>
        </is>
      </c>
      <c r="O174" s="11" t="inlineStr">
        <is>
          <t>NS-02</t>
        </is>
      </c>
      <c r="P174" s="11" t="inlineStr">
        <is>
          <t>2026-09-24</t>
        </is>
      </c>
      <c r="Q174" s="14" t="inlineStr"/>
      <c r="R174" s="14" t="inlineStr"/>
    </row>
    <row r="175">
      <c r="A175" s="11" t="n">
        <v>174</v>
      </c>
      <c r="B175" s="11" t="n">
        <v>4</v>
      </c>
      <c r="C175" s="11" t="inlineStr">
        <is>
          <t>AI/ML</t>
        </is>
      </c>
      <c r="D175" s="11" t="inlineStr">
        <is>
          <t>ML-02</t>
        </is>
      </c>
      <c r="E175" s="11" t="inlineStr">
        <is>
          <t>AI/ML</t>
        </is>
      </c>
      <c r="F175" s="11" t="inlineStr">
        <is>
          <t>Deep learning</t>
        </is>
      </c>
      <c r="G175" s="17" t="inlineStr">
        <is>
          <t>YET TO START</t>
        </is>
      </c>
      <c r="H175" s="13" t="n">
        <v>0</v>
      </c>
      <c r="I175" s="11" t="inlineStr"/>
      <c r="J175" s="11" t="inlineStr">
        <is>
          <t>—</t>
        </is>
      </c>
      <c r="K175" s="11" t="inlineStr">
        <is>
          <t>Development</t>
        </is>
      </c>
      <c r="L175" s="11" t="inlineStr">
        <is>
          <t>None</t>
        </is>
      </c>
      <c r="M175" s="11" t="inlineStr">
        <is>
          <t>Only if validated benefit</t>
        </is>
      </c>
      <c r="N175" s="11" t="inlineStr">
        <is>
          <t>—</t>
        </is>
      </c>
      <c r="O175" s="11" t="inlineStr">
        <is>
          <t>ML-08</t>
        </is>
      </c>
      <c r="P175" s="11" t="inlineStr">
        <is>
          <t>2026-09-24</t>
        </is>
      </c>
      <c r="Q175" s="14" t="inlineStr"/>
      <c r="R175" s="14" t="inlineStr"/>
    </row>
    <row r="176">
      <c r="A176" s="11" t="n">
        <v>175</v>
      </c>
      <c r="B176" s="11" t="n">
        <v>4</v>
      </c>
      <c r="C176" s="11" t="inlineStr">
        <is>
          <t>AI/ML</t>
        </is>
      </c>
      <c r="D176" s="11" t="inlineStr">
        <is>
          <t>ML-04</t>
        </is>
      </c>
      <c r="E176" s="11" t="inlineStr">
        <is>
          <t>AI/ML</t>
        </is>
      </c>
      <c r="F176" s="11" t="inlineStr">
        <is>
          <t>Reinforcement learning</t>
        </is>
      </c>
      <c r="G176" s="17" t="inlineStr">
        <is>
          <t>YET TO START</t>
        </is>
      </c>
      <c r="H176" s="13" t="n">
        <v>0</v>
      </c>
      <c r="I176" s="11" t="inlineStr"/>
      <c r="J176" s="11" t="inlineStr">
        <is>
          <t>—</t>
        </is>
      </c>
      <c r="K176" s="11" t="inlineStr">
        <is>
          <t>Development</t>
        </is>
      </c>
      <c r="L176" s="11" t="inlineStr">
        <is>
          <t>None</t>
        </is>
      </c>
      <c r="M176" s="11" t="inlineStr">
        <is>
          <t>Low priority</t>
        </is>
      </c>
      <c r="N176" s="11" t="inlineStr">
        <is>
          <t>—</t>
        </is>
      </c>
      <c r="O176" s="11" t="inlineStr">
        <is>
          <t>ML-08</t>
        </is>
      </c>
      <c r="P176" s="11" t="inlineStr">
        <is>
          <t>2026-09-24</t>
        </is>
      </c>
      <c r="Q176" s="14" t="inlineStr"/>
      <c r="R176" s="14" t="inlineStr"/>
    </row>
    <row r="177">
      <c r="A177" s="11" t="n">
        <v>176</v>
      </c>
      <c r="B177" s="11" t="n">
        <v>4</v>
      </c>
      <c r="C177" s="11" t="inlineStr">
        <is>
          <t>AI/ML</t>
        </is>
      </c>
      <c r="D177" s="11" t="inlineStr">
        <is>
          <t>DB-18</t>
        </is>
      </c>
      <c r="E177" s="11" t="inlineStr">
        <is>
          <t>Dashboard</t>
        </is>
      </c>
      <c r="F177" s="11" t="inlineStr">
        <is>
          <t>Quant/model panel</t>
        </is>
      </c>
      <c r="G177" s="15" t="inlineStr">
        <is>
          <t>IN PROGRESS</t>
        </is>
      </c>
      <c r="H177" s="13" t="n">
        <v>0.4</v>
      </c>
      <c r="I177" s="11" t="inlineStr"/>
      <c r="J177" s="11" t="inlineStr">
        <is>
          <t>—</t>
        </is>
      </c>
      <c r="K177" s="11" t="inlineStr">
        <is>
          <t>Development</t>
        </is>
      </c>
      <c r="L177" s="11" t="inlineStr">
        <is>
          <t>/ml page: models, versions, lifecycle, predictions, feature sets, datasets, training runs</t>
        </is>
      </c>
      <c r="M177" s="11" t="inlineStr">
        <is>
          <t>Monitoring charts</t>
        </is>
      </c>
      <c r="N177" s="11" t="inlineStr">
        <is>
          <t>dashboard/ml_page.py</t>
        </is>
      </c>
      <c r="O177" s="11" t="inlineStr">
        <is>
          <t>ML-12</t>
        </is>
      </c>
      <c r="P177" s="11" t="inlineStr">
        <is>
          <t>2026-09-25</t>
        </is>
      </c>
      <c r="Q177" s="14" t="inlineStr"/>
      <c r="R177" s="14" t="inlineStr"/>
    </row>
    <row r="178">
      <c r="A178" s="11" t="n">
        <v>177</v>
      </c>
      <c r="B178" s="11" t="n">
        <v>5</v>
      </c>
      <c r="C178" s="11" t="inlineStr">
        <is>
          <t>Risk &amp; Portfolio</t>
        </is>
      </c>
      <c r="D178" s="11" t="inlineStr">
        <is>
          <t>PF-03</t>
        </is>
      </c>
      <c r="E178" s="11" t="inlineStr">
        <is>
          <t>Portfolio</t>
        </is>
      </c>
      <c r="F178" s="11" t="inlineStr">
        <is>
          <t>Exposure / sector allocation</t>
        </is>
      </c>
      <c r="G178" s="16" t="inlineStr">
        <is>
          <t>IMPLEMENTED BUT NOT VERIFIED</t>
        </is>
      </c>
      <c r="H178" s="13" t="n">
        <v>0.9</v>
      </c>
      <c r="I178" s="11" t="inlineStr">
        <is>
          <t>W25</t>
        </is>
      </c>
      <c r="J178" s="11" t="inlineStr">
        <is>
          <t>Branch w25 (not deployed)</t>
        </is>
      </c>
      <c r="K178" s="11" t="inlineStr">
        <is>
          <t>Independent QA</t>
        </is>
      </c>
      <c r="L178" s="11" t="inlineStr">
        <is>
          <t>W25: portfolio/risk.py book_snapshot for PAPER and LIVE books (weights, % equity, sector exposure); /api/risk/portfolio; /trading Portfolio risk panel</t>
        </is>
      </c>
      <c r="M178" s="11" t="inlineStr">
        <is>
          <t>Independent QA</t>
        </is>
      </c>
      <c r="N178" s="11" t="inlineStr">
        <is>
          <t>portfolio/risk.py; dashboard/portfolio_risk_routes.py</t>
        </is>
      </c>
      <c r="O178" s="11" t="inlineStr">
        <is>
          <t>PF-02</t>
        </is>
      </c>
      <c r="P178" s="11" t="inlineStr">
        <is>
          <t>2026-09-28</t>
        </is>
      </c>
      <c r="Q178" s="14" t="inlineStr"/>
      <c r="R178" s="14" t="inlineStr"/>
    </row>
    <row r="179">
      <c r="A179" s="11" t="n">
        <v>178</v>
      </c>
      <c r="B179" s="11" t="n">
        <v>5</v>
      </c>
      <c r="C179" s="11" t="inlineStr">
        <is>
          <t>Risk &amp; Portfolio</t>
        </is>
      </c>
      <c r="D179" s="11" t="inlineStr">
        <is>
          <t>PF-04</t>
        </is>
      </c>
      <c r="E179" s="11" t="inlineStr">
        <is>
          <t>Portfolio</t>
        </is>
      </c>
      <c r="F179" s="11" t="inlineStr">
        <is>
          <t>Concentration/diversification</t>
        </is>
      </c>
      <c r="G179" s="16" t="inlineStr">
        <is>
          <t>IMPLEMENTED BUT NOT VERIFIED</t>
        </is>
      </c>
      <c r="H179" s="13" t="n">
        <v>0.9</v>
      </c>
      <c r="I179" s="11" t="inlineStr">
        <is>
          <t>W25</t>
        </is>
      </c>
      <c r="J179" s="11" t="inlineStr">
        <is>
          <t>Branch w25 (not deployed)</t>
        </is>
      </c>
      <c r="K179" s="11" t="inlineStr">
        <is>
          <t>Independent QA</t>
        </is>
      </c>
      <c r="L179" s="11" t="inlineStr">
        <is>
          <t>W25: concentration() max/top-5 weight, HHI, effective N, sector HHI; in /api/risk/portfolio and snapshots</t>
        </is>
      </c>
      <c r="M179" s="11" t="inlineStr">
        <is>
          <t>Independent QA</t>
        </is>
      </c>
      <c r="N179" s="11" t="inlineStr">
        <is>
          <t>portfolio/risk.py</t>
        </is>
      </c>
      <c r="O179" s="11" t="inlineStr">
        <is>
          <t>PF-03</t>
        </is>
      </c>
      <c r="P179" s="11" t="inlineStr">
        <is>
          <t>2026-09-28</t>
        </is>
      </c>
      <c r="Q179" s="14" t="inlineStr"/>
      <c r="R179" s="14" t="inlineStr"/>
    </row>
    <row r="180">
      <c r="A180" s="11" t="n">
        <v>179</v>
      </c>
      <c r="B180" s="11" t="n">
        <v>5</v>
      </c>
      <c r="C180" s="11" t="inlineStr">
        <is>
          <t>Risk &amp; Portfolio</t>
        </is>
      </c>
      <c r="D180" s="11" t="inlineStr">
        <is>
          <t>PF-09</t>
        </is>
      </c>
      <c r="E180" s="11" t="inlineStr">
        <is>
          <t>Portfolio</t>
        </is>
      </c>
      <c r="F180" s="11" t="inlineStr">
        <is>
          <t>Correlation</t>
        </is>
      </c>
      <c r="G180" s="16" t="inlineStr">
        <is>
          <t>IMPLEMENTED BUT NOT VERIFIED</t>
        </is>
      </c>
      <c r="H180" s="13" t="n">
        <v>0.9</v>
      </c>
      <c r="I180" s="11" t="inlineStr">
        <is>
          <t>W25</t>
        </is>
      </c>
      <c r="J180" s="11" t="inlineStr">
        <is>
          <t>Branch w25 (not deployed)</t>
        </is>
      </c>
      <c r="K180" s="11" t="inlineStr">
        <is>
          <t>Independent QA</t>
        </is>
      </c>
      <c r="L180" s="11" t="inlineStr">
        <is>
          <t>W25: portfolio correlation matrix, weighted avg pairwise correlation, high pairs, diversification ratio; heatmap on /trading</t>
        </is>
      </c>
      <c r="M180" s="11" t="inlineStr">
        <is>
          <t>Independent QA</t>
        </is>
      </c>
      <c r="N180" s="11" t="inlineStr">
        <is>
          <t>portfolio/risk.py; dashboard/execution_page.py</t>
        </is>
      </c>
      <c r="O180" s="11" t="inlineStr">
        <is>
          <t>QR-04</t>
        </is>
      </c>
      <c r="P180" s="11" t="inlineStr">
        <is>
          <t>2026-09-28</t>
        </is>
      </c>
      <c r="Q180" s="14" t="inlineStr"/>
      <c r="R180" s="14" t="inlineStr"/>
    </row>
    <row r="181">
      <c r="A181" s="11" t="n">
        <v>180</v>
      </c>
      <c r="B181" s="11" t="n">
        <v>5</v>
      </c>
      <c r="C181" s="11" t="inlineStr">
        <is>
          <t>Risk &amp; Portfolio</t>
        </is>
      </c>
      <c r="D181" s="11" t="inlineStr">
        <is>
          <t>RK-11</t>
        </is>
      </c>
      <c r="E181" s="11" t="inlineStr">
        <is>
          <t>Risk Management</t>
        </is>
      </c>
      <c r="F181" s="11" t="inlineStr">
        <is>
          <t>Correlation risk</t>
        </is>
      </c>
      <c r="G181" s="16" t="inlineStr">
        <is>
          <t>IMPLEMENTED BUT NOT VERIFIED</t>
        </is>
      </c>
      <c r="H181" s="13" t="n">
        <v>0.85</v>
      </c>
      <c r="I181" s="11" t="inlineStr">
        <is>
          <t>W25</t>
        </is>
      </c>
      <c r="J181" s="11" t="inlineStr">
        <is>
          <t>Branch w25 (not deployed)</t>
        </is>
      </c>
      <c r="K181" s="11" t="inlineStr">
        <is>
          <t>Independent QA</t>
        </is>
      </c>
      <c r="L181" s="11" t="inlineStr">
        <is>
          <t>W25: W4 limit max_avg_correlation (value-weighted correlation of the new symbol with the held book; fail closed); analytics in /api/risk/portfolio</t>
        </is>
      </c>
      <c r="M181" s="11" t="inlineStr">
        <is>
          <t>Independent QA; owner sets the limit (default off)</t>
        </is>
      </c>
      <c r="N181" s="11" t="inlineStr">
        <is>
          <t>execution/risk_engine.py; portfolio/limits.py</t>
        </is>
      </c>
      <c r="O181" s="11" t="inlineStr">
        <is>
          <t>PF-09</t>
        </is>
      </c>
      <c r="P181" s="11" t="inlineStr">
        <is>
          <t>2026-09-28</t>
        </is>
      </c>
      <c r="Q181" s="14" t="inlineStr"/>
      <c r="R181" s="14" t="inlineStr"/>
    </row>
    <row r="182">
      <c r="A182" s="11" t="n">
        <v>181</v>
      </c>
      <c r="B182" s="11" t="n">
        <v>5</v>
      </c>
      <c r="C182" s="11" t="inlineStr">
        <is>
          <t>Risk &amp; Portfolio</t>
        </is>
      </c>
      <c r="D182" s="11" t="inlineStr">
        <is>
          <t>RK-12</t>
        </is>
      </c>
      <c r="E182" s="11" t="inlineStr">
        <is>
          <t>Risk Management</t>
        </is>
      </c>
      <c r="F182" s="11" t="inlineStr">
        <is>
          <t>Portfolio VaR/ES</t>
        </is>
      </c>
      <c r="G182" s="16" t="inlineStr">
        <is>
          <t>IMPLEMENTED BUT NOT VERIFIED</t>
        </is>
      </c>
      <c r="H182" s="13" t="n">
        <v>0.85</v>
      </c>
      <c r="I182" s="11" t="inlineStr">
        <is>
          <t>W25</t>
        </is>
      </c>
      <c r="J182" s="11" t="inlineStr">
        <is>
          <t>Branch w25 (not deployed)</t>
        </is>
      </c>
      <c r="K182" s="11" t="inlineStr">
        <is>
          <t>Independent QA</t>
        </is>
      </c>
      <c r="L182" s="11" t="inlineStr">
        <is>
          <t>W25: historical / parametric / Monte Carlo VaR and ES, 95/99%, 1 and 10 days; W4 limit max_portfolio_var_pct (post-trade); snapshot job + VaR alert (off by default)</t>
        </is>
      </c>
      <c r="M182" s="11" t="inlineStr">
        <is>
          <t>Independent QA; owner sets limit / enables portfolio_risk.snapshot_enabled</t>
        </is>
      </c>
      <c r="N182" s="11" t="inlineStr">
        <is>
          <t>portfolio/risk.py; portfolio/limits.py; execution/risk_engine.py</t>
        </is>
      </c>
      <c r="O182" s="11" t="inlineStr">
        <is>
          <t>QR-04</t>
        </is>
      </c>
      <c r="P182" s="11" t="inlineStr">
        <is>
          <t>2026-09-28</t>
        </is>
      </c>
      <c r="Q182" s="14" t="inlineStr"/>
      <c r="R182" s="14" t="inlineStr"/>
    </row>
    <row r="183">
      <c r="A183" s="11" t="n">
        <v>182</v>
      </c>
      <c r="B183" s="11" t="n">
        <v>5</v>
      </c>
      <c r="C183" s="11" t="inlineStr">
        <is>
          <t>Risk &amp; Portfolio</t>
        </is>
      </c>
      <c r="D183" s="11" t="inlineStr">
        <is>
          <t>RK-06</t>
        </is>
      </c>
      <c r="E183" s="11" t="inlineStr">
        <is>
          <t>Risk Management</t>
        </is>
      </c>
      <c r="F183" s="11" t="inlineStr">
        <is>
          <t>Sector limits</t>
        </is>
      </c>
      <c r="G183" s="12" t="inlineStr">
        <is>
          <t>COMPLETED</t>
        </is>
      </c>
      <c r="H183" s="13" t="n">
        <v>0.8</v>
      </c>
      <c r="I183" s="11" t="inlineStr"/>
      <c r="J183" s="11" t="inlineStr">
        <is>
          <t>Live (ATIP-W24-RC1)</t>
        </is>
      </c>
      <c r="K183" s="11" t="inlineStr"/>
      <c r="L183" s="11" t="inlineStr">
        <is>
          <t>max_sector_exposure_pct in the W4 risk engine (NSE industry from cached Nifty 500 list; fails closed when unavailable)</t>
        </is>
      </c>
      <c r="M183" s="11" t="inlineStr">
        <is>
          <t>Validate</t>
        </is>
      </c>
      <c r="N183" s="11" t="inlineStr">
        <is>
          <t>execution/risk_engine.py; execution/positions.py</t>
        </is>
      </c>
      <c r="O183" s="11" t="inlineStr">
        <is>
          <t>PF-03</t>
        </is>
      </c>
      <c r="P183" s="11" t="inlineStr">
        <is>
          <t>2026-09-25</t>
        </is>
      </c>
      <c r="Q183" s="14" t="inlineStr"/>
      <c r="R183" s="14" t="inlineStr"/>
    </row>
    <row r="184">
      <c r="A184" s="11" t="n">
        <v>183</v>
      </c>
      <c r="B184" s="11" t="n">
        <v>5</v>
      </c>
      <c r="C184" s="11" t="inlineStr">
        <is>
          <t>Risk &amp; Portfolio</t>
        </is>
      </c>
      <c r="D184" s="11" t="inlineStr">
        <is>
          <t>RK-09</t>
        </is>
      </c>
      <c r="E184" s="11" t="inlineStr">
        <is>
          <t>Risk Management</t>
        </is>
      </c>
      <c r="F184" s="11" t="inlineStr">
        <is>
          <t>Volatility limits</t>
        </is>
      </c>
      <c r="G184" s="16" t="inlineStr">
        <is>
          <t>IMPLEMENTED BUT NOT VERIFIED</t>
        </is>
      </c>
      <c r="H184" s="13" t="n">
        <v>0.85</v>
      </c>
      <c r="I184" s="11" t="inlineStr">
        <is>
          <t>W25</t>
        </is>
      </c>
      <c r="J184" s="11" t="inlineStr">
        <is>
          <t>Branch w25 (not deployed)</t>
        </is>
      </c>
      <c r="K184" s="11" t="inlineStr">
        <is>
          <t>Independent QA</t>
        </is>
      </c>
      <c r="L184" s="11" t="inlineStr">
        <is>
          <t>W25: W4 limit max_symbol_volatility_pct (annualised 60-session vol; fail closed)</t>
        </is>
      </c>
      <c r="M184" s="11" t="inlineStr">
        <is>
          <t>Independent QA; owner sets the limit (default off)</t>
        </is>
      </c>
      <c r="N184" s="11" t="inlineStr">
        <is>
          <t>execution/risk_engine.py; execution/config.py; portfolio/limits.py</t>
        </is>
      </c>
      <c r="O184" s="11" t="inlineStr">
        <is>
          <t>TA-12</t>
        </is>
      </c>
      <c r="P184" s="11" t="inlineStr">
        <is>
          <t>2026-09-28</t>
        </is>
      </c>
      <c r="Q184" s="14" t="inlineStr"/>
      <c r="R184" s="14" t="inlineStr"/>
    </row>
    <row r="185">
      <c r="A185" s="11" t="n">
        <v>184</v>
      </c>
      <c r="B185" s="11" t="n">
        <v>5</v>
      </c>
      <c r="C185" s="11" t="inlineStr">
        <is>
          <t>Risk &amp; Portfolio</t>
        </is>
      </c>
      <c r="D185" s="11" t="inlineStr">
        <is>
          <t>RK-10</t>
        </is>
      </c>
      <c r="E185" s="11" t="inlineStr">
        <is>
          <t>Risk Management</t>
        </is>
      </c>
      <c r="F185" s="11" t="inlineStr">
        <is>
          <t>Liquidity limits</t>
        </is>
      </c>
      <c r="G185" s="16" t="inlineStr">
        <is>
          <t>IMPLEMENTED BUT NOT VERIFIED</t>
        </is>
      </c>
      <c r="H185" s="13" t="n">
        <v>0.85</v>
      </c>
      <c r="I185" s="11" t="inlineStr">
        <is>
          <t>W25</t>
        </is>
      </c>
      <c r="J185" s="11" t="inlineStr">
        <is>
          <t>Branch w25 (not deployed)</t>
        </is>
      </c>
      <c r="K185" s="11" t="inlineStr">
        <is>
          <t>Independent QA</t>
        </is>
      </c>
      <c r="L185" s="11" t="inlineStr">
        <is>
          <t>W25: W4 cap max_adv_participation_pct (qty &lt;= % of 20-session ADV) and W1 risk_limits.max_adv_participation_pct (BUY and SELL, unmeasurable -&gt; refused)</t>
        </is>
      </c>
      <c r="M185" s="11" t="inlineStr">
        <is>
          <t>Independent QA; owner sets the limit (default off)</t>
        </is>
      </c>
      <c r="N185" s="11" t="inlineStr">
        <is>
          <t>execution/risk_engine.py; orders/risk.py; portfolio/limits.py</t>
        </is>
      </c>
      <c r="O185" s="11" t="inlineStr">
        <is>
          <t>DP-02</t>
        </is>
      </c>
      <c r="P185" s="11" t="inlineStr">
        <is>
          <t>2026-09-28</t>
        </is>
      </c>
      <c r="Q185" s="14" t="inlineStr"/>
      <c r="R185" s="14" t="inlineStr"/>
    </row>
    <row r="186">
      <c r="A186" s="11" t="n">
        <v>185</v>
      </c>
      <c r="B186" s="11" t="n">
        <v>5</v>
      </c>
      <c r="C186" s="11" t="inlineStr">
        <is>
          <t>Risk &amp; Portfolio</t>
        </is>
      </c>
      <c r="D186" s="11" t="inlineStr">
        <is>
          <t>RK-18</t>
        </is>
      </c>
      <c r="E186" s="11" t="inlineStr">
        <is>
          <t>Risk Management</t>
        </is>
      </c>
      <c r="F186" s="11" t="inlineStr">
        <is>
          <t>Strategy risk budget</t>
        </is>
      </c>
      <c r="G186" s="12" t="inlineStr">
        <is>
          <t>COMPLETED</t>
        </is>
      </c>
      <c r="H186" s="13" t="n">
        <v>0.75</v>
      </c>
      <c r="I186" s="11" t="inlineStr"/>
      <c r="J186" s="11" t="inlineStr">
        <is>
          <t>Live (ATIP-W24-RC1)</t>
        </is>
      </c>
      <c r="K186" s="11" t="inlineStr"/>
      <c r="L186" s="11" t="inlineStr">
        <is>
          <t>max_strategy_exposure_pct + strategy_drawdown_limit_pct from per-strategy fill attribution</t>
        </is>
      </c>
      <c r="M186" s="11" t="inlineStr">
        <is>
          <t>Per-strategy capital budgets</t>
        </is>
      </c>
      <c r="N186" s="11" t="inlineStr">
        <is>
          <t>execution/risk_engine.py; execution/positions.py</t>
        </is>
      </c>
      <c r="O186" s="11" t="inlineStr">
        <is>
          <t>SE-09</t>
        </is>
      </c>
      <c r="P186" s="11" t="inlineStr">
        <is>
          <t>2026-09-25</t>
        </is>
      </c>
      <c r="Q186" s="14" t="inlineStr"/>
      <c r="R186" s="14" t="inlineStr"/>
    </row>
    <row r="187">
      <c r="A187" s="11" t="n">
        <v>186</v>
      </c>
      <c r="B187" s="11" t="n">
        <v>5</v>
      </c>
      <c r="C187" s="11" t="inlineStr">
        <is>
          <t>Risk &amp; Portfolio</t>
        </is>
      </c>
      <c r="D187" s="11" t="inlineStr">
        <is>
          <t>RK-01</t>
        </is>
      </c>
      <c r="E187" s="11" t="inlineStr">
        <is>
          <t>Risk Management</t>
        </is>
      </c>
      <c r="F187" s="11" t="inlineStr">
        <is>
          <t>Kill switch scopes + auto-trigger</t>
        </is>
      </c>
      <c r="G187" s="12" t="inlineStr">
        <is>
          <t>COMPLETED</t>
        </is>
      </c>
      <c r="H187" s="13" t="n">
        <v>0.8</v>
      </c>
      <c r="I187" s="11" t="inlineStr"/>
      <c r="J187" s="11" t="inlineStr">
        <is>
          <t>Live (ATIP-W24-RC1)</t>
        </is>
      </c>
      <c r="K187" s="11" t="inlineStr"/>
      <c r="L187" s="11" t="inlineStr">
        <is>
          <t>Global flag file + config</t>
        </is>
      </c>
      <c r="M187" s="11" t="inlineStr">
        <is>
          <t>Per-strategy/symbol; auto-trigger</t>
        </is>
      </c>
      <c r="N187" s="11" t="inlineStr">
        <is>
          <t>orders/risk.py</t>
        </is>
      </c>
      <c r="O187" s="11" t="inlineStr">
        <is>
          <t>RK-07; RK-08</t>
        </is>
      </c>
      <c r="P187" s="11" t="inlineStr">
        <is>
          <t>2026-09-24</t>
        </is>
      </c>
      <c r="Q187" s="14" t="inlineStr"/>
      <c r="R187" s="14" t="inlineStr"/>
    </row>
    <row r="188">
      <c r="A188" s="11" t="n">
        <v>187</v>
      </c>
      <c r="B188" s="11" t="n">
        <v>5</v>
      </c>
      <c r="C188" s="11" t="inlineStr">
        <is>
          <t>Risk &amp; Portfolio</t>
        </is>
      </c>
      <c r="D188" s="11" t="inlineStr">
        <is>
          <t>RK-16</t>
        </is>
      </c>
      <c r="E188" s="11" t="inlineStr">
        <is>
          <t>Risk Management</t>
        </is>
      </c>
      <c r="F188" s="11" t="inlineStr">
        <is>
          <t>Emergency exit</t>
        </is>
      </c>
      <c r="G188" s="16" t="inlineStr">
        <is>
          <t>IMPLEMENTED BUT NOT VERIFIED</t>
        </is>
      </c>
      <c r="H188" s="13" t="n">
        <v>0.85</v>
      </c>
      <c r="I188" s="11" t="inlineStr">
        <is>
          <t>W25</t>
        </is>
      </c>
      <c r="J188" s="11" t="inlineStr">
        <is>
          <t>Branch w25 (not deployed)</t>
        </is>
      </c>
      <c r="K188" s="11" t="inlineStr">
        <is>
          <t>Independent QA</t>
        </is>
      </c>
      <c r="L188" s="11" t="inlineStr">
        <is>
          <t>W25: portfolio/emergency.py plan + confirm code (10 min) -&gt; kill switch ON, cancel open W4 orders, sell PAPER book; LIVE = sell list only, never an order; /api/risk/emergency-exit (risk:approve); dashboard button</t>
        </is>
      </c>
      <c r="M188" s="11" t="inlineStr">
        <is>
          <t>Independent QA</t>
        </is>
      </c>
      <c r="N188" s="11" t="inlineStr">
        <is>
          <t>portfolio/emergency.py; dashboard/portfolio_risk_routes.py</t>
        </is>
      </c>
      <c r="O188" s="11" t="inlineStr">
        <is>
          <t>RK-01</t>
        </is>
      </c>
      <c r="P188" s="11" t="inlineStr">
        <is>
          <t>2026-09-28</t>
        </is>
      </c>
      <c r="Q188" s="14" t="inlineStr"/>
      <c r="R188" s="14" t="inlineStr"/>
    </row>
    <row r="189">
      <c r="A189" s="11" t="n">
        <v>188</v>
      </c>
      <c r="B189" s="11" t="n">
        <v>5</v>
      </c>
      <c r="C189" s="11" t="inlineStr">
        <is>
          <t>Risk &amp; Portfolio</t>
        </is>
      </c>
      <c r="D189" s="11" t="inlineStr">
        <is>
          <t>PF-10</t>
        </is>
      </c>
      <c r="E189" s="11" t="inlineStr">
        <is>
          <t>Portfolio</t>
        </is>
      </c>
      <c r="F189" s="11" t="inlineStr">
        <is>
          <t>Portfolio optimisation</t>
        </is>
      </c>
      <c r="G189" s="16" t="inlineStr">
        <is>
          <t>IMPLEMENTED BUT NOT VERIFIED</t>
        </is>
      </c>
      <c r="H189" s="13" t="n">
        <v>0.85</v>
      </c>
      <c r="I189" s="11" t="inlineStr">
        <is>
          <t>W25</t>
        </is>
      </c>
      <c r="J189" s="11" t="inlineStr">
        <is>
          <t>Branch w25 (not deployed)</t>
        </is>
      </c>
      <c r="K189" s="11" t="inlineStr">
        <is>
          <t>Independent QA</t>
        </is>
      </c>
      <c r="L189" s="11" t="inlineStr">
        <is>
          <t>W25: portfolio/optimize.py min_variance / mean_variance / max_sharpe / risk_parity; long-only, max/min weight, sector caps (FISTA + exact Dykstra projection); shrunk covariance; frontier; stored runs</t>
        </is>
      </c>
      <c r="M189" s="11" t="inlineStr">
        <is>
          <t>Independent QA; expected-return model review</t>
        </is>
      </c>
      <c r="N189" s="11" t="inlineStr">
        <is>
          <t>portfolio/optimize.py</t>
        </is>
      </c>
      <c r="O189" s="11" t="inlineStr">
        <is>
          <t>RK-12</t>
        </is>
      </c>
      <c r="P189" s="11" t="inlineStr">
        <is>
          <t>2026-09-28</t>
        </is>
      </c>
      <c r="Q189" s="14" t="inlineStr"/>
      <c r="R189" s="14" t="inlineStr"/>
    </row>
    <row r="190">
      <c r="A190" s="11" t="n">
        <v>189</v>
      </c>
      <c r="B190" s="11" t="n">
        <v>5</v>
      </c>
      <c r="C190" s="11" t="inlineStr">
        <is>
          <t>Risk &amp; Portfolio</t>
        </is>
      </c>
      <c r="D190" s="11" t="inlineStr">
        <is>
          <t>PF-06</t>
        </is>
      </c>
      <c r="E190" s="11" t="inlineStr">
        <is>
          <t>Portfolio</t>
        </is>
      </c>
      <c r="F190" s="11" t="inlineStr">
        <is>
          <t>Rebalancing</t>
        </is>
      </c>
      <c r="G190" s="16" t="inlineStr">
        <is>
          <t>IMPLEMENTED BUT NOT VERIFIED</t>
        </is>
      </c>
      <c r="H190" s="13" t="n">
        <v>0.8</v>
      </c>
      <c r="I190" s="11" t="inlineStr">
        <is>
          <t>W25</t>
        </is>
      </c>
      <c r="J190" s="11" t="inlineStr">
        <is>
          <t>Branch w25 (not deployed)</t>
        </is>
      </c>
      <c r="K190" s="11" t="inlineStr">
        <is>
          <t>Independent QA</t>
        </is>
      </c>
      <c r="L190" s="11" t="inlineStr">
        <is>
          <t>W25: rebalance_plan (NEW/ADD/REDUCE/EXIT/HOLD, band, min trade, costs, turnover); portfolio strategy kind reweight_band_pct emits ADD/REDUCE with exact quantity</t>
        </is>
      </c>
      <c r="M190" s="11" t="inlineStr">
        <is>
          <t>Independent QA; backtest engine still trades whole positions</t>
        </is>
      </c>
      <c r="N190" s="11" t="inlineStr">
        <is>
          <t>portfolio/optimize.py; strategy_engine/kinds.py; strategy_engine/engine.py</t>
        </is>
      </c>
      <c r="O190" s="11" t="inlineStr">
        <is>
          <t>PF-10</t>
        </is>
      </c>
      <c r="P190" s="11" t="inlineStr">
        <is>
          <t>2026-09-28</t>
        </is>
      </c>
      <c r="Q190" s="14" t="inlineStr"/>
      <c r="R190" s="14" t="inlineStr"/>
    </row>
    <row r="191">
      <c r="A191" s="11" t="n">
        <v>190</v>
      </c>
      <c r="B191" s="11" t="n">
        <v>5</v>
      </c>
      <c r="C191" s="11" t="inlineStr">
        <is>
          <t>Risk &amp; Portfolio</t>
        </is>
      </c>
      <c r="D191" s="11" t="inlineStr">
        <is>
          <t>PF-07</t>
        </is>
      </c>
      <c r="E191" s="11" t="inlineStr">
        <is>
          <t>Portfolio</t>
        </is>
      </c>
      <c r="F191" s="11" t="inlineStr">
        <is>
          <t>Risk attribution</t>
        </is>
      </c>
      <c r="G191" s="16" t="inlineStr">
        <is>
          <t>IMPLEMENTED BUT NOT VERIFIED</t>
        </is>
      </c>
      <c r="H191" s="13" t="n">
        <v>0.85</v>
      </c>
      <c r="I191" s="11" t="inlineStr">
        <is>
          <t>W25</t>
        </is>
      </c>
      <c r="J191" s="11" t="inlineStr">
        <is>
          <t>Branch w25 (not deployed)</t>
        </is>
      </c>
      <c r="K191" s="11" t="inlineStr">
        <is>
          <t>Independent QA</t>
        </is>
      </c>
      <c r="L191" s="11" t="inlineStr">
        <is>
          <t>W25: risk_attribution per position / sector variance share, component VaR, beta, systematic vs idiosyncratic</t>
        </is>
      </c>
      <c r="M191" s="11" t="inlineStr">
        <is>
          <t>Independent QA</t>
        </is>
      </c>
      <c r="N191" s="11" t="inlineStr">
        <is>
          <t>portfolio/risk.py</t>
        </is>
      </c>
      <c r="O191" s="11" t="inlineStr">
        <is>
          <t>PF-10</t>
        </is>
      </c>
      <c r="P191" s="11" t="inlineStr">
        <is>
          <t>2026-09-28</t>
        </is>
      </c>
      <c r="Q191" s="14" t="inlineStr"/>
      <c r="R191" s="14" t="inlineStr"/>
    </row>
    <row r="192">
      <c r="A192" s="11" t="n">
        <v>191</v>
      </c>
      <c r="B192" s="11" t="n">
        <v>5</v>
      </c>
      <c r="C192" s="11" t="inlineStr">
        <is>
          <t>Risk &amp; Portfolio</t>
        </is>
      </c>
      <c r="D192" s="11" t="inlineStr">
        <is>
          <t>PF-08</t>
        </is>
      </c>
      <c r="E192" s="11" t="inlineStr">
        <is>
          <t>Portfolio</t>
        </is>
      </c>
      <c r="F192" s="11" t="inlineStr">
        <is>
          <t>Performance attribution</t>
        </is>
      </c>
      <c r="G192" s="16" t="inlineStr">
        <is>
          <t>IMPLEMENTED BUT NOT VERIFIED</t>
        </is>
      </c>
      <c r="H192" s="13" t="n">
        <v>0.75</v>
      </c>
      <c r="I192" s="11" t="inlineStr">
        <is>
          <t>W25</t>
        </is>
      </c>
      <c r="J192" s="11" t="inlineStr">
        <is>
          <t>Branch w25 (not deployed)</t>
        </is>
      </c>
      <c r="K192" s="11" t="inlineStr">
        <is>
          <t>Independent QA</t>
        </is>
      </c>
      <c r="L192" s="11" t="inlineStr">
        <is>
          <t>W25: holdings-based contribution by position / sector, beta-alpha split vs NIFTY50, Brinson allocation/selection vs equal-weighted universe</t>
        </is>
      </c>
      <c r="M192" s="11" t="inlineStr">
        <is>
          <t>Independent QA; trade-based attribution needs a LIVE trade ledger</t>
        </is>
      </c>
      <c r="N192" s="11" t="inlineStr">
        <is>
          <t>portfolio/risk.py</t>
        </is>
      </c>
      <c r="O192" s="11" t="inlineStr">
        <is>
          <t>PF-13</t>
        </is>
      </c>
      <c r="P192" s="11" t="inlineStr">
        <is>
          <t>2026-09-28</t>
        </is>
      </c>
      <c r="Q192" s="14" t="inlineStr"/>
      <c r="R192" s="14" t="inlineStr"/>
    </row>
    <row r="193">
      <c r="A193" s="11" t="n">
        <v>192</v>
      </c>
      <c r="B193" s="11" t="n">
        <v>5</v>
      </c>
      <c r="C193" s="11" t="inlineStr">
        <is>
          <t>Risk &amp; Portfolio</t>
        </is>
      </c>
      <c r="D193" s="11" t="inlineStr">
        <is>
          <t>PF-11</t>
        </is>
      </c>
      <c r="E193" s="11" t="inlineStr">
        <is>
          <t>Portfolio</t>
        </is>
      </c>
      <c r="F193" s="11" t="inlineStr">
        <is>
          <t>CAGR/XIRR analytics</t>
        </is>
      </c>
      <c r="G193" s="16" t="inlineStr">
        <is>
          <t>IMPLEMENTED BUT NOT VERIFIED</t>
        </is>
      </c>
      <c r="H193" s="13" t="n">
        <v>0.7</v>
      </c>
      <c r="I193" s="11" t="inlineStr">
        <is>
          <t>W25</t>
        </is>
      </c>
      <c r="J193" s="11" t="inlineStr">
        <is>
          <t>Branch w25 (not deployed)</t>
        </is>
      </c>
      <c r="K193" s="11" t="inlineStr">
        <is>
          <t>Independent QA</t>
        </is>
      </c>
      <c r="L193" s="11" t="inlineStr">
        <is>
          <t>W25: CAGR from pnl_daily equity; PAPER book + per-position XIRR from paper fills (wealth ledger XIRR in W15.5)</t>
        </is>
      </c>
      <c r="M193" s="11" t="inlineStr">
        <is>
          <t>Independent QA; LIVE XIRR needs a trade ledger</t>
        </is>
      </c>
      <c r="N193" s="11" t="inlineStr">
        <is>
          <t>portfolio/risk.py; wealth/perf/metrics.py</t>
        </is>
      </c>
      <c r="O193" s="11" t="inlineStr">
        <is>
          <t>PF-13</t>
        </is>
      </c>
      <c r="P193" s="11" t="inlineStr">
        <is>
          <t>2026-09-28</t>
        </is>
      </c>
      <c r="Q193" s="14" t="inlineStr"/>
      <c r="R193" s="14" t="inlineStr"/>
    </row>
    <row r="194">
      <c r="A194" s="11" t="n">
        <v>193</v>
      </c>
      <c r="B194" s="11" t="n">
        <v>5</v>
      </c>
      <c r="C194" s="11" t="inlineStr">
        <is>
          <t>Risk &amp; Portfolio</t>
        </is>
      </c>
      <c r="D194" s="11" t="inlineStr">
        <is>
          <t>DB-17</t>
        </is>
      </c>
      <c r="E194" s="11" t="inlineStr">
        <is>
          <t>Dashboard</t>
        </is>
      </c>
      <c r="F194" s="11" t="inlineStr">
        <is>
          <t>Risk dashboard</t>
        </is>
      </c>
      <c r="G194" s="16" t="inlineStr">
        <is>
          <t>IMPLEMENTED BUT NOT VERIFIED</t>
        </is>
      </c>
      <c r="H194" s="13" t="n">
        <v>0.85</v>
      </c>
      <c r="I194" s="11" t="inlineStr">
        <is>
          <t>W25</t>
        </is>
      </c>
      <c r="J194" s="11" t="inlineStr">
        <is>
          <t>Branch w25 (not deployed)</t>
        </is>
      </c>
      <c r="K194" s="11" t="inlineStr">
        <is>
          <t>Independent QA</t>
        </is>
      </c>
      <c r="L194" s="11" t="inlineStr">
        <is>
          <t>W25: /trading Portfolio risk panels: KPIs, VaR/ES table, concentration, risk contribution, correlation heatmap, performance attribution, emergency exit</t>
        </is>
      </c>
      <c r="M194" s="11" t="inlineStr">
        <is>
          <t>Independent QA</t>
        </is>
      </c>
      <c r="N194" s="11" t="inlineStr">
        <is>
          <t>dashboard/execution_page.py</t>
        </is>
      </c>
      <c r="O194" s="11" t="inlineStr">
        <is>
          <t>RK-12</t>
        </is>
      </c>
      <c r="P194" s="11" t="inlineStr">
        <is>
          <t>2026-09-28</t>
        </is>
      </c>
      <c r="Q194" s="14" t="inlineStr"/>
      <c r="R194" s="14" t="inlineStr"/>
    </row>
    <row r="195">
      <c r="A195" s="11" t="n">
        <v>194</v>
      </c>
      <c r="B195" s="11" t="n">
        <v>6</v>
      </c>
      <c r="C195" s="11" t="inlineStr">
        <is>
          <t>Execution</t>
        </is>
      </c>
      <c r="D195" s="11" t="inlineStr">
        <is>
          <t>EX-02</t>
        </is>
      </c>
      <c r="E195" s="11" t="inlineStr">
        <is>
          <t>Execution</t>
        </is>
      </c>
      <c r="F195" s="11" t="inlineStr">
        <is>
          <t>Order types</t>
        </is>
      </c>
      <c r="G195" s="15" t="inlineStr">
        <is>
          <t>IN PROGRESS</t>
        </is>
      </c>
      <c r="H195" s="13" t="n">
        <v>0.6</v>
      </c>
      <c r="I195" s="11" t="inlineStr"/>
      <c r="J195" s="11" t="inlineStr">
        <is>
          <t>—</t>
        </is>
      </c>
      <c r="K195" s="11" t="inlineStr">
        <is>
          <t>Development</t>
        </is>
      </c>
      <c r="L195" s="11" t="inlineStr">
        <is>
          <t>W4 OMS: MARKET and LIMIT through the paper adapter; order type from config</t>
        </is>
      </c>
      <c r="M195" s="11" t="inlineStr">
        <is>
          <t>Stop-loss / stop-limit order types</t>
        </is>
      </c>
      <c r="N195" s="11" t="inlineStr">
        <is>
          <t>execution/order_manager.py; execution/adapters.py</t>
        </is>
      </c>
      <c r="O195" s="11" t="inlineStr"/>
      <c r="P195" s="11" t="inlineStr">
        <is>
          <t>2026-09-25</t>
        </is>
      </c>
      <c r="Q195" s="14" t="inlineStr"/>
      <c r="R195" s="14" t="inlineStr"/>
    </row>
    <row r="196">
      <c r="A196" s="11" t="n">
        <v>195</v>
      </c>
      <c r="B196" s="11" t="n">
        <v>6</v>
      </c>
      <c r="C196" s="11" t="inlineStr">
        <is>
          <t>Execution</t>
        </is>
      </c>
      <c r="D196" s="11" t="inlineStr">
        <is>
          <t>EX-08</t>
        </is>
      </c>
      <c r="E196" s="11" t="inlineStr">
        <is>
          <t>Execution</t>
        </is>
      </c>
      <c r="F196" s="11" t="inlineStr">
        <is>
          <t>Order modify/cancel</t>
        </is>
      </c>
      <c r="G196" s="15" t="inlineStr">
        <is>
          <t>IN PROGRESS</t>
        </is>
      </c>
      <c r="H196" s="13" t="n">
        <v>0.5</v>
      </c>
      <c r="I196" s="11" t="inlineStr"/>
      <c r="J196" s="11" t="inlineStr">
        <is>
          <t>—</t>
        </is>
      </c>
      <c r="K196" s="11" t="inlineStr">
        <is>
          <t>Development</t>
        </is>
      </c>
      <c r="L196" s="11" t="inlineStr">
        <is>
          <t>Cancel with explicit CANCEL_PENDING state; status refresh; no modify</t>
        </is>
      </c>
      <c r="M196" s="11" t="inlineStr">
        <is>
          <t>Order modify</t>
        </is>
      </c>
      <c r="N196" s="11" t="inlineStr">
        <is>
          <t>execution/order_manager.py</t>
        </is>
      </c>
      <c r="O196" s="11" t="inlineStr"/>
      <c r="P196" s="11" t="inlineStr">
        <is>
          <t>2026-09-25</t>
        </is>
      </c>
      <c r="Q196" s="14" t="inlineStr"/>
      <c r="R196" s="14" t="inlineStr"/>
    </row>
    <row r="197">
      <c r="A197" s="11" t="n">
        <v>196</v>
      </c>
      <c r="B197" s="11" t="n">
        <v>6</v>
      </c>
      <c r="C197" s="11" t="inlineStr">
        <is>
          <t>Execution</t>
        </is>
      </c>
      <c r="D197" s="11" t="inlineStr">
        <is>
          <t>BR-05</t>
        </is>
      </c>
      <c r="E197" s="11" t="inlineStr">
        <is>
          <t>Broker Integration</t>
        </is>
      </c>
      <c r="F197" s="11" t="inlineStr">
        <is>
          <t>Execution reconciliation</t>
        </is>
      </c>
      <c r="G197" s="15" t="inlineStr">
        <is>
          <t>IN PROGRESS</t>
        </is>
      </c>
      <c r="H197" s="13" t="n">
        <v>0.3</v>
      </c>
      <c r="I197" s="11" t="inlineStr"/>
      <c r="J197" s="11" t="inlineStr">
        <is>
          <t>—</t>
        </is>
      </c>
      <c r="K197" s="11" t="inlineStr">
        <is>
          <t>Development</t>
        </is>
      </c>
      <c r="L197" s="11" t="inlineStr">
        <is>
          <t>Partial reconcile code</t>
        </is>
      </c>
      <c r="M197" s="11" t="inlineStr">
        <is>
          <t>EOD reconciliation job + alert</t>
        </is>
      </c>
      <c r="N197" s="11" t="inlineStr">
        <is>
          <t>orders/</t>
        </is>
      </c>
      <c r="O197" s="11" t="inlineStr"/>
      <c r="P197" s="11" t="inlineStr">
        <is>
          <t>2026-09-24</t>
        </is>
      </c>
      <c r="Q197" s="14" t="inlineStr"/>
      <c r="R197" s="14" t="inlineStr"/>
    </row>
    <row r="198">
      <c r="A198" s="11" t="n">
        <v>197</v>
      </c>
      <c r="B198" s="11" t="n">
        <v>6</v>
      </c>
      <c r="C198" s="11" t="inlineStr">
        <is>
          <t>Execution</t>
        </is>
      </c>
      <c r="D198" s="11" t="inlineStr">
        <is>
          <t>BR-06</t>
        </is>
      </c>
      <c r="E198" s="11" t="inlineStr">
        <is>
          <t>Broker Integration</t>
        </is>
      </c>
      <c r="F198" s="11" t="inlineStr">
        <is>
          <t>Connection health</t>
        </is>
      </c>
      <c r="G198" s="15" t="inlineStr">
        <is>
          <t>IN PROGRESS</t>
        </is>
      </c>
      <c r="H198" s="13" t="n">
        <v>0.4</v>
      </c>
      <c r="I198" s="11" t="inlineStr"/>
      <c r="J198" s="11" t="inlineStr">
        <is>
          <t>—</t>
        </is>
      </c>
      <c r="K198" s="11" t="inlineStr">
        <is>
          <t>Development</t>
        </is>
      </c>
      <c r="L198" s="11" t="inlineStr">
        <is>
          <t>broker-status route; WS stall detection</t>
        </is>
      </c>
      <c r="M198" s="11" t="inlineStr">
        <is>
          <t>Health checks + alerts</t>
        </is>
      </c>
      <c r="N198" s="11" t="inlineStr">
        <is>
          <t>dashboard/server.py</t>
        </is>
      </c>
      <c r="O198" s="11" t="inlineStr">
        <is>
          <t>MON-03</t>
        </is>
      </c>
      <c r="P198" s="11" t="inlineStr">
        <is>
          <t>2026-09-24</t>
        </is>
      </c>
      <c r="Q198" s="14" t="inlineStr"/>
      <c r="R198" s="14" t="inlineStr"/>
    </row>
    <row r="199">
      <c r="A199" s="11" t="n">
        <v>198</v>
      </c>
      <c r="B199" s="11" t="n">
        <v>6</v>
      </c>
      <c r="C199" s="11" t="inlineStr">
        <is>
          <t>Execution</t>
        </is>
      </c>
      <c r="D199" s="11" t="inlineStr">
        <is>
          <t>RK-17</t>
        </is>
      </c>
      <c r="E199" s="11" t="inlineStr">
        <is>
          <t>Risk Management</t>
        </is>
      </c>
      <c r="F199" s="11" t="inlineStr">
        <is>
          <t>Broker/operational risk</t>
        </is>
      </c>
      <c r="G199" s="15" t="inlineStr">
        <is>
          <t>IN PROGRESS</t>
        </is>
      </c>
      <c r="H199" s="13" t="n">
        <v>0.5</v>
      </c>
      <c r="I199" s="11" t="inlineStr"/>
      <c r="J199" s="11" t="inlineStr">
        <is>
          <t>—</t>
        </is>
      </c>
      <c r="K199" s="11" t="inlineStr">
        <is>
          <t>Development</t>
        </is>
      </c>
      <c r="L199" s="11" t="inlineStr">
        <is>
          <t>Kill switch + live-trading gate + broker failure -&gt; FAILED order state with context</t>
        </is>
      </c>
      <c r="M199" s="11" t="inlineStr">
        <is>
          <t>Broker health / stale-data checks</t>
        </is>
      </c>
      <c r="N199" s="11" t="inlineStr">
        <is>
          <t>execution/config.py; execution/order_manager.py</t>
        </is>
      </c>
      <c r="O199" s="11" t="inlineStr">
        <is>
          <t>BR-06</t>
        </is>
      </c>
      <c r="P199" s="11" t="inlineStr">
        <is>
          <t>2026-09-25</t>
        </is>
      </c>
      <c r="Q199" s="14" t="inlineStr"/>
      <c r="R199" s="14" t="inlineStr"/>
    </row>
    <row r="200">
      <c r="A200" s="11" t="n">
        <v>199</v>
      </c>
      <c r="B200" s="11" t="n">
        <v>6</v>
      </c>
      <c r="C200" s="11" t="inlineStr">
        <is>
          <t>Execution</t>
        </is>
      </c>
      <c r="D200" s="11" t="inlineStr">
        <is>
          <t>BR-08</t>
        </is>
      </c>
      <c r="E200" s="11" t="inlineStr">
        <is>
          <t>Broker Integration</t>
        </is>
      </c>
      <c r="F200" s="11" t="inlineStr">
        <is>
          <t>Sandbox</t>
        </is>
      </c>
      <c r="G200" s="15" t="inlineStr">
        <is>
          <t>IN PROGRESS</t>
        </is>
      </c>
      <c r="H200" s="13" t="n">
        <v>0.3</v>
      </c>
      <c r="I200" s="11" t="inlineStr"/>
      <c r="J200" s="11" t="inlineStr">
        <is>
          <t>—</t>
        </is>
      </c>
      <c r="K200" s="11" t="inlineStr">
        <is>
          <t>Development</t>
        </is>
      </c>
      <c r="L200" s="11" t="inlineStr">
        <is>
          <t>SANDBOX env defined</t>
        </is>
      </c>
      <c r="M200" s="11" t="inlineStr">
        <is>
          <t>Verify sandbox path end-to-end</t>
        </is>
      </c>
      <c r="N200" s="11" t="inlineStr">
        <is>
          <t>orders/environment.py</t>
        </is>
      </c>
      <c r="O200" s="11" t="inlineStr"/>
      <c r="P200" s="11" t="inlineStr">
        <is>
          <t>2026-09-24</t>
        </is>
      </c>
      <c r="Q200" s="14" t="inlineStr"/>
      <c r="R200" s="14" t="inlineStr"/>
    </row>
    <row r="201">
      <c r="A201" s="11" t="n">
        <v>200</v>
      </c>
      <c r="B201" s="11" t="n">
        <v>6</v>
      </c>
      <c r="C201" s="11" t="inlineStr">
        <is>
          <t>Execution</t>
        </is>
      </c>
      <c r="D201" s="11" t="inlineStr">
        <is>
          <t>EX-09</t>
        </is>
      </c>
      <c r="E201" s="11" t="inlineStr">
        <is>
          <t>Execution</t>
        </is>
      </c>
      <c r="F201" s="11" t="inlineStr">
        <is>
          <t>Measured slippage</t>
        </is>
      </c>
      <c r="G201" s="15" t="inlineStr">
        <is>
          <t>IN PROGRESS</t>
        </is>
      </c>
      <c r="H201" s="13" t="n">
        <v>0.3</v>
      </c>
      <c r="I201" s="11" t="inlineStr"/>
      <c r="J201" s="11" t="inlineStr">
        <is>
          <t>—</t>
        </is>
      </c>
      <c r="K201" s="11" t="inlineStr">
        <is>
          <t>Development</t>
        </is>
      </c>
      <c r="L201" s="11" t="inlineStr">
        <is>
          <t>Fill price and decision reference price stored per order/fill (slippage derivable)</t>
        </is>
      </c>
      <c r="M201" s="11" t="inlineStr">
        <is>
          <t>Slippage metric + report</t>
        </is>
      </c>
      <c r="N201" s="11" t="inlineStr">
        <is>
          <t>execution/order_manager.py</t>
        </is>
      </c>
      <c r="O201" s="11" t="inlineStr">
        <is>
          <t>PF-13</t>
        </is>
      </c>
      <c r="P201" s="11" t="inlineStr">
        <is>
          <t>2026-09-25</t>
        </is>
      </c>
      <c r="Q201" s="14" t="inlineStr"/>
      <c r="R201" s="14" t="inlineStr"/>
    </row>
    <row r="202">
      <c r="A202" s="11" t="n">
        <v>201</v>
      </c>
      <c r="B202" s="11" t="n">
        <v>6</v>
      </c>
      <c r="C202" s="11" t="inlineStr">
        <is>
          <t>Execution</t>
        </is>
      </c>
      <c r="D202" s="11" t="inlineStr">
        <is>
          <t>EX-10</t>
        </is>
      </c>
      <c r="E202" s="11" t="inlineStr">
        <is>
          <t>Execution</t>
        </is>
      </c>
      <c r="F202" s="11" t="inlineStr">
        <is>
          <t>Execution analytics</t>
        </is>
      </c>
      <c r="G202" s="15" t="inlineStr">
        <is>
          <t>IN PROGRESS</t>
        </is>
      </c>
      <c r="H202" s="13" t="n">
        <v>0.3</v>
      </c>
      <c r="I202" s="11" t="inlineStr"/>
      <c r="J202" s="11" t="inlineStr">
        <is>
          <t>—</t>
        </is>
      </c>
      <c r="K202" s="11" t="inlineStr">
        <is>
          <t>Development</t>
        </is>
      </c>
      <c r="L202" s="11" t="inlineStr">
        <is>
          <t>oms_order / oms_order_event / oms_execution / oms_fill audit tables and APIs</t>
        </is>
      </c>
      <c r="M202" s="11" t="inlineStr">
        <is>
          <t>Fill-rate / slippage / rejection analytics</t>
        </is>
      </c>
      <c r="N202" s="11" t="inlineStr">
        <is>
          <t>execution/*</t>
        </is>
      </c>
      <c r="O202" s="11" t="inlineStr">
        <is>
          <t>EX-09</t>
        </is>
      </c>
      <c r="P202" s="11" t="inlineStr">
        <is>
          <t>2026-09-25</t>
        </is>
      </c>
      <c r="Q202" s="14" t="inlineStr"/>
      <c r="R202" s="14" t="inlineStr"/>
    </row>
    <row r="203">
      <c r="A203" s="11" t="n">
        <v>202</v>
      </c>
      <c r="B203" s="11" t="n">
        <v>6</v>
      </c>
      <c r="C203" s="11" t="inlineStr">
        <is>
          <t>Execution</t>
        </is>
      </c>
      <c r="D203" s="11" t="inlineStr">
        <is>
          <t>BR-02</t>
        </is>
      </c>
      <c r="E203" s="11" t="inlineStr">
        <is>
          <t>Broker Integration</t>
        </is>
      </c>
      <c r="F203" s="11" t="inlineStr">
        <is>
          <t>Zerodha/Kite</t>
        </is>
      </c>
      <c r="G203" s="15" t="inlineStr">
        <is>
          <t>IN PROGRESS</t>
        </is>
      </c>
      <c r="H203" s="13" t="n">
        <v>0.5</v>
      </c>
      <c r="I203" s="11" t="inlineStr"/>
      <c r="J203" s="11" t="inlineStr">
        <is>
          <t>—</t>
        </is>
      </c>
      <c r="K203" s="11" t="inlineStr">
        <is>
          <t>Development</t>
        </is>
      </c>
      <c r="L203" s="11" t="inlineStr">
        <is>
          <t>Holdings sync only</t>
        </is>
      </c>
      <c r="M203" s="11" t="inlineStr">
        <is>
          <t>Token refresh; orders if wanted</t>
        </is>
      </c>
      <c r="N203" s="11" t="inlineStr">
        <is>
          <t>portfolio/zerodha.py</t>
        </is>
      </c>
      <c r="O203" s="11" t="inlineStr"/>
      <c r="P203" s="11" t="inlineStr">
        <is>
          <t>2026-09-24</t>
        </is>
      </c>
      <c r="Q203" s="14" t="inlineStr"/>
      <c r="R203" s="14" t="inlineStr"/>
    </row>
    <row r="204">
      <c r="A204" s="11" t="n">
        <v>203</v>
      </c>
      <c r="B204" s="11" t="n">
        <v>6</v>
      </c>
      <c r="C204" s="11" t="inlineStr">
        <is>
          <t>Execution</t>
        </is>
      </c>
      <c r="D204" s="11" t="inlineStr">
        <is>
          <t>MON-04</t>
        </is>
      </c>
      <c r="E204" s="11" t="inlineStr">
        <is>
          <t>Monitoring</t>
        </is>
      </c>
      <c r="F204" s="11" t="inlineStr">
        <is>
          <t>Live strategy/P&amp;L monitoring</t>
        </is>
      </c>
      <c r="G204" s="15" t="inlineStr">
        <is>
          <t>IN PROGRESS</t>
        </is>
      </c>
      <c r="H204" s="13" t="n">
        <v>0.25</v>
      </c>
      <c r="I204" s="11" t="inlineStr"/>
      <c r="J204" s="11" t="inlineStr">
        <is>
          <t>—</t>
        </is>
      </c>
      <c r="K204" s="11" t="inlineStr">
        <is>
          <t>Development</t>
        </is>
      </c>
      <c r="L204" s="11" t="inlineStr">
        <is>
          <t>Dashboard partial</t>
        </is>
      </c>
      <c r="M204" s="11" t="inlineStr">
        <is>
          <t>Live P&amp;L panel</t>
        </is>
      </c>
      <c r="N204" s="11" t="inlineStr">
        <is>
          <t>dashboard/server.py</t>
        </is>
      </c>
      <c r="O204" s="11" t="inlineStr">
        <is>
          <t>PF-13</t>
        </is>
      </c>
      <c r="P204" s="11" t="inlineStr">
        <is>
          <t>2026-09-24</t>
        </is>
      </c>
      <c r="Q204" s="14" t="inlineStr"/>
      <c r="R204" s="14" t="inlineStr"/>
    </row>
    <row r="205">
      <c r="A205" s="11" t="n">
        <v>204</v>
      </c>
      <c r="B205" s="11" t="n">
        <v>6</v>
      </c>
      <c r="C205" s="11" t="inlineStr">
        <is>
          <t>Execution</t>
        </is>
      </c>
      <c r="D205" s="11" t="inlineStr">
        <is>
          <t>SEC-03</t>
        </is>
      </c>
      <c r="E205" s="11" t="inlineStr">
        <is>
          <t>Security</t>
        </is>
      </c>
      <c r="F205" s="11" t="inlineStr">
        <is>
          <t>Audit logging</t>
        </is>
      </c>
      <c r="G205" s="15" t="inlineStr">
        <is>
          <t>IN PROGRESS</t>
        </is>
      </c>
      <c r="H205" s="13" t="n">
        <v>0.85</v>
      </c>
      <c r="I205" s="11" t="inlineStr"/>
      <c r="J205" s="11" t="inlineStr">
        <is>
          <t>—</t>
        </is>
      </c>
      <c r="K205" s="11" t="inlineStr">
        <is>
          <t>Development</t>
        </is>
      </c>
      <c r="L205" s="11" t="inlineStr">
        <is>
          <t>enterprise_audit hash chain (prev_hash/row_hash, verify_chain) + append-only triggers on enterprise_audit and oms_order_event; mutating API requests audited even with the enterprise layer off; config changes and secret rotations audited</t>
        </is>
      </c>
      <c r="M205" s="11" t="inlineStr">
        <is>
          <t>Export / retention; off-box audit copy</t>
        </is>
      </c>
      <c r="N205" s="11" t="inlineStr">
        <is>
          <t>enterprise/audit.py; ops/migrations.py; ops/http.py</t>
        </is>
      </c>
      <c r="O205" s="11" t="inlineStr"/>
      <c r="P205" s="11" t="inlineStr">
        <is>
          <t>2026-09-25</t>
        </is>
      </c>
      <c r="Q205" s="14" t="inlineStr"/>
      <c r="R205" s="14" t="inlineStr"/>
    </row>
    <row r="206">
      <c r="A206" s="11" t="n">
        <v>205</v>
      </c>
      <c r="B206" s="11" t="n">
        <v>7</v>
      </c>
      <c r="C206" s="11" t="inlineStr">
        <is>
          <t>Advanced Quant</t>
        </is>
      </c>
      <c r="D206" s="11" t="inlineStr">
        <is>
          <t>DP-04</t>
        </is>
      </c>
      <c r="E206" s="11" t="inlineStr">
        <is>
          <t>Data Platform</t>
        </is>
      </c>
      <c r="F206" s="11" t="inlineStr">
        <is>
          <t>Tick data</t>
        </is>
      </c>
      <c r="G206" s="17" t="inlineStr">
        <is>
          <t>YET TO START</t>
        </is>
      </c>
      <c r="H206" s="13" t="n">
        <v>0.05</v>
      </c>
      <c r="I206" s="11" t="inlineStr"/>
      <c r="J206" s="11" t="inlineStr">
        <is>
          <t>—</t>
        </is>
      </c>
      <c r="K206" s="11" t="inlineStr">
        <is>
          <t>Development</t>
        </is>
      </c>
      <c r="L206" s="11" t="inlineStr">
        <is>
          <t>live_ticks exists; 0 rows</t>
        </is>
      </c>
      <c r="M206" s="11" t="inlineStr">
        <is>
          <t>Tick ingestion + storage</t>
        </is>
      </c>
      <c r="N206" s="11" t="inlineStr">
        <is>
          <t>data/dhan.py</t>
        </is>
      </c>
      <c r="O206" s="11" t="inlineStr">
        <is>
          <t>DBS-04</t>
        </is>
      </c>
      <c r="P206" s="11" t="inlineStr">
        <is>
          <t>2026-09-24</t>
        </is>
      </c>
      <c r="Q206" s="14" t="inlineStr"/>
      <c r="R206" s="14" t="inlineStr"/>
    </row>
    <row r="207">
      <c r="A207" s="11" t="n">
        <v>206</v>
      </c>
      <c r="B207" s="11" t="n">
        <v>7</v>
      </c>
      <c r="C207" s="11" t="inlineStr">
        <is>
          <t>Advanced Quant</t>
        </is>
      </c>
      <c r="D207" s="11" t="inlineStr">
        <is>
          <t>DP-05</t>
        </is>
      </c>
      <c r="E207" s="11" t="inlineStr">
        <is>
          <t>Data Platform</t>
        </is>
      </c>
      <c r="F207" s="11" t="inlineStr">
        <is>
          <t>Order book / depth</t>
        </is>
      </c>
      <c r="G207" s="17" t="inlineStr">
        <is>
          <t>YET TO START</t>
        </is>
      </c>
      <c r="H207" s="13" t="n">
        <v>0.05</v>
      </c>
      <c r="I207" s="11" t="inlineStr"/>
      <c r="J207" s="11" t="inlineStr">
        <is>
          <t>—</t>
        </is>
      </c>
      <c r="K207" s="11" t="inlineStr">
        <is>
          <t>Development</t>
        </is>
      </c>
      <c r="L207" s="11" t="inlineStr">
        <is>
          <t>FULL feed type defined (CLI only)</t>
        </is>
      </c>
      <c r="M207" s="11" t="inlineStr">
        <is>
          <t>Depth capture + schema</t>
        </is>
      </c>
      <c r="N207" s="11" t="inlineStr">
        <is>
          <t>data/dhan.py</t>
        </is>
      </c>
      <c r="O207" s="11" t="inlineStr">
        <is>
          <t>DP-04</t>
        </is>
      </c>
      <c r="P207" s="11" t="inlineStr">
        <is>
          <t>2026-09-24</t>
        </is>
      </c>
      <c r="Q207" s="14" t="inlineStr"/>
      <c r="R207" s="14" t="inlineStr"/>
    </row>
    <row r="208">
      <c r="A208" s="11" t="n">
        <v>207</v>
      </c>
      <c r="B208" s="11" t="n">
        <v>7</v>
      </c>
      <c r="C208" s="11" t="inlineStr">
        <is>
          <t>Advanced Quant</t>
        </is>
      </c>
      <c r="D208" s="11" t="inlineStr">
        <is>
          <t>AF-07</t>
        </is>
      </c>
      <c r="E208" s="11" t="inlineStr">
        <is>
          <t>Alpha/Factor Engine</t>
        </is>
      </c>
      <c r="F208" s="11" t="inlineStr">
        <is>
          <t>Microstructure factors</t>
        </is>
      </c>
      <c r="G208" s="15" t="inlineStr">
        <is>
          <t>IN PROGRESS</t>
        </is>
      </c>
      <c r="H208" s="13" t="n">
        <v>0.25</v>
      </c>
      <c r="I208" s="11" t="inlineStr"/>
      <c r="J208" s="11" t="inlineStr">
        <is>
          <t>—</t>
        </is>
      </c>
      <c r="K208" s="11" t="inlineStr">
        <is>
          <t>Development</t>
        </is>
      </c>
      <c r="L208" s="11" t="inlineStr">
        <is>
          <t>Intraday features from live_quotes; tick/depth pending</t>
        </is>
      </c>
      <c r="M208" s="11" t="inlineStr">
        <is>
          <t>Tick / depth feed</t>
        </is>
      </c>
      <c r="N208" s="11" t="inlineStr">
        <is>
          <t>quant/microstructure.py</t>
        </is>
      </c>
      <c r="O208" s="11" t="inlineStr">
        <is>
          <t>DP-05</t>
        </is>
      </c>
      <c r="P208" s="11" t="inlineStr">
        <is>
          <t>2026-09-25</t>
        </is>
      </c>
      <c r="Q208" s="14" t="inlineStr"/>
      <c r="R208" s="14" t="inlineStr"/>
    </row>
    <row r="209">
      <c r="A209" s="11" t="n">
        <v>208</v>
      </c>
      <c r="B209" s="11" t="n">
        <v>7</v>
      </c>
      <c r="C209" s="11" t="inlineStr">
        <is>
          <t>Advanced Quant</t>
        </is>
      </c>
      <c r="D209" s="11" t="inlineStr">
        <is>
          <t>AF-06</t>
        </is>
      </c>
      <c r="E209" s="11" t="inlineStr">
        <is>
          <t>Alpha/Factor Engine</t>
        </is>
      </c>
      <c r="F209" s="11" t="inlineStr">
        <is>
          <t>Derivatives factors</t>
        </is>
      </c>
      <c r="G209" s="18" t="inlineStr">
        <is>
          <t>BLOCKED</t>
        </is>
      </c>
      <c r="H209" s="13" t="n">
        <v>0.2</v>
      </c>
      <c r="I209" s="11" t="inlineStr"/>
      <c r="J209" s="11" t="inlineStr">
        <is>
          <t>—</t>
        </is>
      </c>
      <c r="K209" s="11" t="inlineStr">
        <is>
          <t>Owner: Derivatives data source</t>
        </is>
      </c>
      <c r="L209" s="11" t="inlineStr">
        <is>
          <t>Black-Scholes / greeks / IV / basis maths + schema; no derivatives data</t>
        </is>
      </c>
      <c r="M209" s="11" t="inlineStr">
        <is>
          <t>Derivatives data source</t>
        </is>
      </c>
      <c r="N209" s="11" t="inlineStr">
        <is>
          <t>quant/derivatives.py</t>
        </is>
      </c>
      <c r="O209" s="11" t="inlineStr">
        <is>
          <t>DP-08</t>
        </is>
      </c>
      <c r="P209" s="11" t="inlineStr">
        <is>
          <t>2026-09-25</t>
        </is>
      </c>
      <c r="Q209" s="14" t="inlineStr"/>
      <c r="R209" s="14" t="inlineStr"/>
    </row>
    <row r="210">
      <c r="A210" s="11" t="n">
        <v>209</v>
      </c>
      <c r="B210" s="11" t="n">
        <v>7</v>
      </c>
      <c r="C210" s="11" t="inlineStr">
        <is>
          <t>Advanced Quant</t>
        </is>
      </c>
      <c r="D210" s="11" t="inlineStr">
        <is>
          <t>QR-10</t>
        </is>
      </c>
      <c r="E210" s="11" t="inlineStr">
        <is>
          <t>Quant Research</t>
        </is>
      </c>
      <c r="F210" s="11" t="inlineStr">
        <is>
          <t>Volatility strategies</t>
        </is>
      </c>
      <c r="G210" s="15" t="inlineStr">
        <is>
          <t>IN PROGRESS</t>
        </is>
      </c>
      <c r="H210" s="13" t="n">
        <v>0.4</v>
      </c>
      <c r="I210" s="11" t="inlineStr"/>
      <c r="J210" s="11" t="inlineStr">
        <is>
          <t>—</t>
        </is>
      </c>
      <c r="K210" s="11" t="inlineStr">
        <is>
          <t>Development</t>
        </is>
      </c>
      <c r="L210" s="11" t="inlineStr">
        <is>
          <t>Volatility estimators and regime; IV needs options data</t>
        </is>
      </c>
      <c r="M210" s="11" t="inlineStr">
        <is>
          <t>Options data</t>
        </is>
      </c>
      <c r="N210" s="11" t="inlineStr">
        <is>
          <t>quant/volatility.py</t>
        </is>
      </c>
      <c r="O210" s="11" t="inlineStr">
        <is>
          <t>DP-08</t>
        </is>
      </c>
      <c r="P210" s="11" t="inlineStr">
        <is>
          <t>2026-09-25</t>
        </is>
      </c>
      <c r="Q210" s="14" t="inlineStr"/>
      <c r="R210" s="14" t="inlineStr"/>
    </row>
    <row r="211">
      <c r="A211" s="11" t="n">
        <v>210</v>
      </c>
      <c r="B211" s="11" t="n">
        <v>7</v>
      </c>
      <c r="C211" s="11" t="inlineStr">
        <is>
          <t>Advanced Quant</t>
        </is>
      </c>
      <c r="D211" s="11" t="inlineStr">
        <is>
          <t>QR-05</t>
        </is>
      </c>
      <c r="E211" s="11" t="inlineStr">
        <is>
          <t>Quant Research</t>
        </is>
      </c>
      <c r="F211" s="11" t="inlineStr">
        <is>
          <t>Stat-arb / pairs / cointegration</t>
        </is>
      </c>
      <c r="G211" s="15" t="inlineStr">
        <is>
          <t>IN PROGRESS</t>
        </is>
      </c>
      <c r="H211" s="13" t="n">
        <v>0.7</v>
      </c>
      <c r="I211" s="11" t="inlineStr"/>
      <c r="J211" s="11" t="inlineStr">
        <is>
          <t>—</t>
        </is>
      </c>
      <c r="K211" s="11" t="inlineStr">
        <is>
          <t>Development</t>
        </is>
      </c>
      <c r="L211" s="11" t="inlineStr">
        <is>
          <t>Pairs registry, spreads, cointegration screen, W3 pairs kind (short leg not executable)</t>
        </is>
      </c>
      <c r="M211" s="11" t="inlineStr">
        <is>
          <t>Shortable instrument</t>
        </is>
      </c>
      <c r="N211" s="11" t="inlineStr">
        <is>
          <t>quant/statarb.py; quant/pairs.py; strategy_engine/kinds.py</t>
        </is>
      </c>
      <c r="O211" s="11" t="inlineStr">
        <is>
          <t>QR-04</t>
        </is>
      </c>
      <c r="P211" s="11" t="inlineStr">
        <is>
          <t>2026-09-25</t>
        </is>
      </c>
      <c r="Q211" s="14" t="inlineStr"/>
      <c r="R211" s="14" t="inlineStr"/>
    </row>
    <row r="212">
      <c r="A212" s="11" t="n">
        <v>211</v>
      </c>
      <c r="B212" s="11" t="n">
        <v>7</v>
      </c>
      <c r="C212" s="11" t="inlineStr">
        <is>
          <t>Advanced Quant</t>
        </is>
      </c>
      <c r="D212" s="11" t="inlineStr">
        <is>
          <t>QR-06</t>
        </is>
      </c>
      <c r="E212" s="11" t="inlineStr">
        <is>
          <t>Quant Research</t>
        </is>
      </c>
      <c r="F212" s="11" t="inlineStr">
        <is>
          <t>Cross-sectional / market-neutral</t>
        </is>
      </c>
      <c r="G212" s="15" t="inlineStr">
        <is>
          <t>IN PROGRESS</t>
        </is>
      </c>
      <c r="H212" s="13" t="n">
        <v>0.65</v>
      </c>
      <c r="I212" s="11" t="inlineStr"/>
      <c r="J212" s="11" t="inlineStr">
        <is>
          <t>—</t>
        </is>
      </c>
      <c r="K212" s="11" t="inlineStr">
        <is>
          <t>Development</t>
        </is>
      </c>
      <c r="L212" s="11" t="inlineStr">
        <is>
          <t>Cross-sectional ranking + portfolio kind with dollar/beta/sector neutrality (shorts not executable)</t>
        </is>
      </c>
      <c r="M212" s="11" t="inlineStr">
        <is>
          <t>Shortable instrument</t>
        </is>
      </c>
      <c r="N212" s="11" t="inlineStr">
        <is>
          <t>quant/engine.py; quant/portfolio.py; strategy_engine/kinds.py</t>
        </is>
      </c>
      <c r="O212" s="11" t="inlineStr">
        <is>
          <t>DP-08</t>
        </is>
      </c>
      <c r="P212" s="11" t="inlineStr">
        <is>
          <t>2026-09-25</t>
        </is>
      </c>
      <c r="Q212" s="14" t="inlineStr"/>
      <c r="R212" s="14" t="inlineStr"/>
    </row>
    <row r="213">
      <c r="A213" s="11" t="n">
        <v>212</v>
      </c>
      <c r="B213" s="11" t="n">
        <v>7</v>
      </c>
      <c r="C213" s="11" t="inlineStr">
        <is>
          <t>Advanced Quant</t>
        </is>
      </c>
      <c r="D213" s="11" t="inlineStr">
        <is>
          <t>QR-09</t>
        </is>
      </c>
      <c r="E213" s="11" t="inlineStr">
        <is>
          <t>Quant Research</t>
        </is>
      </c>
      <c r="F213" s="11" t="inlineStr">
        <is>
          <t>Event-driven research</t>
        </is>
      </c>
      <c r="G213" s="15" t="inlineStr">
        <is>
          <t>IN PROGRESS</t>
        </is>
      </c>
      <c r="H213" s="13" t="n">
        <v>0.45</v>
      </c>
      <c r="I213" s="11" t="inlineStr"/>
      <c r="J213" s="11" t="inlineStr">
        <is>
          <t>—</t>
        </is>
      </c>
      <c r="K213" s="11" t="inlineStr">
        <is>
          <t>Development</t>
        </is>
      </c>
      <c r="L213" s="11" t="inlineStr">
        <is>
          <t>market_event from corporate_actions + bulk_deals; ev_* strategy features; typed interface for pending sources</t>
        </is>
      </c>
      <c r="M213" s="11" t="inlineStr">
        <is>
          <t>Earnings/dividend/macro sources</t>
        </is>
      </c>
      <c r="N213" s="11" t="inlineStr">
        <is>
          <t>quant/events.py</t>
        </is>
      </c>
      <c r="O213" s="11" t="inlineStr">
        <is>
          <t>DP-06</t>
        </is>
      </c>
      <c r="P213" s="11" t="inlineStr">
        <is>
          <t>2026-09-25</t>
        </is>
      </c>
      <c r="Q213" s="14" t="inlineStr"/>
      <c r="R213" s="14" t="inlineStr"/>
    </row>
    <row r="214">
      <c r="A214" s="11" t="n">
        <v>213</v>
      </c>
      <c r="B214" s="11" t="n">
        <v>7</v>
      </c>
      <c r="C214" s="11" t="inlineStr">
        <is>
          <t>Advanced Quant</t>
        </is>
      </c>
      <c r="D214" s="11" t="inlineStr">
        <is>
          <t>AF-05</t>
        </is>
      </c>
      <c r="E214" s="11" t="inlineStr">
        <is>
          <t>Alpha/Factor Engine</t>
        </is>
      </c>
      <c r="F214" s="11" t="inlineStr">
        <is>
          <t>Value/quality composites</t>
        </is>
      </c>
      <c r="G214" s="15" t="inlineStr">
        <is>
          <t>IN PROGRESS</t>
        </is>
      </c>
      <c r="H214" s="13" t="n">
        <v>0.5</v>
      </c>
      <c r="I214" s="11" t="inlineStr"/>
      <c r="J214" s="11" t="inlineStr">
        <is>
          <t>—</t>
        </is>
      </c>
      <c r="K214" s="11" t="inlineStr">
        <is>
          <t>Development</t>
        </is>
      </c>
      <c r="L214" s="11" t="inlineStr">
        <is>
          <t>Value/quality/growth factors + vqm / vqmg composites (fundamental_data empty)</t>
        </is>
      </c>
      <c r="M214" s="11" t="inlineStr">
        <is>
          <t>Fundamentals ingestion</t>
        </is>
      </c>
      <c r="N214" s="11" t="inlineStr">
        <is>
          <t>quant/factors.py; quant/composite.py</t>
        </is>
      </c>
      <c r="O214" s="11" t="inlineStr">
        <is>
          <t>DP-15</t>
        </is>
      </c>
      <c r="P214" s="11" t="inlineStr">
        <is>
          <t>2026-09-25</t>
        </is>
      </c>
      <c r="Q214" s="14" t="inlineStr"/>
      <c r="R214" s="14" t="inlineStr"/>
    </row>
    <row r="215">
      <c r="A215" s="11" t="n">
        <v>214</v>
      </c>
      <c r="B215" s="11" t="n">
        <v>7</v>
      </c>
      <c r="C215" s="11" t="inlineStr">
        <is>
          <t>Advanced Quant</t>
        </is>
      </c>
      <c r="D215" s="11" t="inlineStr">
        <is>
          <t>EX-11</t>
        </is>
      </c>
      <c r="E215" s="11" t="inlineStr">
        <is>
          <t>Execution</t>
        </is>
      </c>
      <c r="F215" s="11" t="inlineStr">
        <is>
          <t>Execution algos</t>
        </is>
      </c>
      <c r="G215" s="17" t="inlineStr">
        <is>
          <t>YET TO START</t>
        </is>
      </c>
      <c r="H215" s="13" t="n">
        <v>0</v>
      </c>
      <c r="I215" s="11" t="inlineStr"/>
      <c r="J215" s="11" t="inlineStr">
        <is>
          <t>—</t>
        </is>
      </c>
      <c r="K215" s="11" t="inlineStr">
        <is>
          <t>Development</t>
        </is>
      </c>
      <c r="L215" s="11" t="inlineStr">
        <is>
          <t>None</t>
        </is>
      </c>
      <c r="M215" s="11" t="inlineStr">
        <is>
          <t>Implement</t>
        </is>
      </c>
      <c r="N215" s="11" t="inlineStr">
        <is>
          <t>—</t>
        </is>
      </c>
      <c r="O215" s="11" t="inlineStr">
        <is>
          <t>DP-03</t>
        </is>
      </c>
      <c r="P215" s="11" t="inlineStr">
        <is>
          <t>2026-09-24</t>
        </is>
      </c>
      <c r="Q215" s="14" t="inlineStr"/>
      <c r="R215" s="14" t="inlineStr"/>
    </row>
    <row r="216">
      <c r="A216" s="11" t="n">
        <v>215</v>
      </c>
      <c r="B216" s="11" t="n">
        <v>7</v>
      </c>
      <c r="C216" s="11" t="inlineStr">
        <is>
          <t>Advanced Quant</t>
        </is>
      </c>
      <c r="D216" s="11" t="inlineStr">
        <is>
          <t>EX-12</t>
        </is>
      </c>
      <c r="E216" s="11" t="inlineStr">
        <is>
          <t>Execution</t>
        </is>
      </c>
      <c r="F216" s="11" t="inlineStr">
        <is>
          <t>Market impact model</t>
        </is>
      </c>
      <c r="G216" s="17" t="inlineStr">
        <is>
          <t>YET TO START</t>
        </is>
      </c>
      <c r="H216" s="13" t="n">
        <v>0</v>
      </c>
      <c r="I216" s="11" t="inlineStr"/>
      <c r="J216" s="11" t="inlineStr">
        <is>
          <t>—</t>
        </is>
      </c>
      <c r="K216" s="11" t="inlineStr">
        <is>
          <t>Development</t>
        </is>
      </c>
      <c r="L216" s="11" t="inlineStr">
        <is>
          <t>None</t>
        </is>
      </c>
      <c r="M216" s="11" t="inlineStr">
        <is>
          <t>Implement</t>
        </is>
      </c>
      <c r="N216" s="11" t="inlineStr">
        <is>
          <t>—</t>
        </is>
      </c>
      <c r="O216" s="11" t="inlineStr">
        <is>
          <t>DP-05</t>
        </is>
      </c>
      <c r="P216" s="11" t="inlineStr">
        <is>
          <t>2026-09-24</t>
        </is>
      </c>
      <c r="Q216" s="14" t="inlineStr"/>
      <c r="R216" s="14" t="inlineStr"/>
    </row>
    <row r="217">
      <c r="A217" s="11" t="n">
        <v>216</v>
      </c>
      <c r="B217" s="11" t="n">
        <v>7</v>
      </c>
      <c r="C217" s="11" t="inlineStr">
        <is>
          <t>Advanced Quant</t>
        </is>
      </c>
      <c r="D217" s="11" t="inlineStr">
        <is>
          <t>EX-15</t>
        </is>
      </c>
      <c r="E217" s="11" t="inlineStr">
        <is>
          <t>Execution</t>
        </is>
      </c>
      <c r="F217" s="11" t="inlineStr">
        <is>
          <t>Latency telemetry</t>
        </is>
      </c>
      <c r="G217" s="17" t="inlineStr">
        <is>
          <t>YET TO START</t>
        </is>
      </c>
      <c r="H217" s="13" t="n">
        <v>0</v>
      </c>
      <c r="I217" s="11" t="inlineStr"/>
      <c r="J217" s="11" t="inlineStr">
        <is>
          <t>—</t>
        </is>
      </c>
      <c r="K217" s="11" t="inlineStr">
        <is>
          <t>Development</t>
        </is>
      </c>
      <c r="L217" s="11" t="inlineStr">
        <is>
          <t>None</t>
        </is>
      </c>
      <c r="M217" s="11" t="inlineStr">
        <is>
          <t>Instrument data and order paths</t>
        </is>
      </c>
      <c r="N217" s="11" t="inlineStr">
        <is>
          <t>—</t>
        </is>
      </c>
      <c r="O217" s="11" t="inlineStr"/>
      <c r="P217" s="11" t="inlineStr">
        <is>
          <t>2026-09-24</t>
        </is>
      </c>
      <c r="Q217" s="14" t="inlineStr"/>
      <c r="R217" s="14" t="inlineStr"/>
    </row>
    <row r="218">
      <c r="A218" s="11" t="n">
        <v>217</v>
      </c>
      <c r="B218" s="11" t="n">
        <v>7</v>
      </c>
      <c r="C218" s="11" t="inlineStr">
        <is>
          <t>Advanced Quant</t>
        </is>
      </c>
      <c r="D218" s="11" t="inlineStr">
        <is>
          <t>EX-16</t>
        </is>
      </c>
      <c r="E218" s="11" t="inlineStr">
        <is>
          <t>Execution</t>
        </is>
      </c>
      <c r="F218" s="11" t="inlineStr">
        <is>
          <t>Event-driven OMS</t>
        </is>
      </c>
      <c r="G218" s="17" t="inlineStr">
        <is>
          <t>YET TO START</t>
        </is>
      </c>
      <c r="H218" s="13" t="n">
        <v>0.1</v>
      </c>
      <c r="I218" s="11" t="inlineStr"/>
      <c r="J218" s="11" t="inlineStr">
        <is>
          <t>—</t>
        </is>
      </c>
      <c r="K218" s="11" t="inlineStr">
        <is>
          <t>Development</t>
        </is>
      </c>
      <c r="L218" s="11" t="inlineStr">
        <is>
          <t>Synchronous calls</t>
        </is>
      </c>
      <c r="M218" s="11" t="inlineStr">
        <is>
          <t>Implement</t>
        </is>
      </c>
      <c r="N218" s="11" t="inlineStr">
        <is>
          <t>—</t>
        </is>
      </c>
      <c r="O218" s="11" t="inlineStr">
        <is>
          <t>EX-15</t>
        </is>
      </c>
      <c r="P218" s="11" t="inlineStr">
        <is>
          <t>2026-09-24</t>
        </is>
      </c>
      <c r="Q218" s="14" t="inlineStr"/>
      <c r="R218" s="14" t="inlineStr"/>
    </row>
    <row r="219">
      <c r="A219" s="11" t="n">
        <v>218</v>
      </c>
      <c r="B219" s="11" t="n">
        <v>7</v>
      </c>
      <c r="C219" s="11" t="inlineStr">
        <is>
          <t>Advanced Quant</t>
        </is>
      </c>
      <c r="D219" s="11" t="inlineStr">
        <is>
          <t>BT-17</t>
        </is>
      </c>
      <c r="E219" s="11" t="inlineStr">
        <is>
          <t>Backtesting</t>
        </is>
      </c>
      <c r="F219" s="11" t="inlineStr">
        <is>
          <t>Event-driven backtester</t>
        </is>
      </c>
      <c r="G219" s="17" t="inlineStr">
        <is>
          <t>YET TO START</t>
        </is>
      </c>
      <c r="H219" s="13" t="n">
        <v>0</v>
      </c>
      <c r="I219" s="11" t="inlineStr"/>
      <c r="J219" s="11" t="inlineStr">
        <is>
          <t>—</t>
        </is>
      </c>
      <c r="K219" s="11" t="inlineStr">
        <is>
          <t>Development</t>
        </is>
      </c>
      <c r="L219" s="11" t="inlineStr">
        <is>
          <t>Bar loops only</t>
        </is>
      </c>
      <c r="M219" s="11" t="inlineStr">
        <is>
          <t>Implement</t>
        </is>
      </c>
      <c r="N219" s="11" t="inlineStr">
        <is>
          <t>—</t>
        </is>
      </c>
      <c r="O219" s="11" t="inlineStr">
        <is>
          <t>EX-16</t>
        </is>
      </c>
      <c r="P219" s="11" t="inlineStr">
        <is>
          <t>2026-09-24</t>
        </is>
      </c>
      <c r="Q219" s="14" t="inlineStr"/>
      <c r="R219" s="14" t="inlineStr"/>
    </row>
    <row r="220">
      <c r="A220" s="11" t="n">
        <v>219</v>
      </c>
      <c r="B220" s="11" t="n">
        <v>7</v>
      </c>
      <c r="C220" s="11" t="inlineStr">
        <is>
          <t>Advanced Quant</t>
        </is>
      </c>
      <c r="D220" s="11" t="inlineStr">
        <is>
          <t>DP-14</t>
        </is>
      </c>
      <c r="E220" s="11" t="inlineStr">
        <is>
          <t>Data Platform</t>
        </is>
      </c>
      <c r="F220" s="11" t="inlineStr">
        <is>
          <t>Macroeconomic data</t>
        </is>
      </c>
      <c r="G220" s="17" t="inlineStr">
        <is>
          <t>YET TO START</t>
        </is>
      </c>
      <c r="H220" s="13" t="n">
        <v>0</v>
      </c>
      <c r="I220" s="11" t="inlineStr"/>
      <c r="J220" s="11" t="inlineStr">
        <is>
          <t>—</t>
        </is>
      </c>
      <c r="K220" s="11" t="inlineStr">
        <is>
          <t>Development</t>
        </is>
      </c>
      <c r="L220" s="11" t="inlineStr">
        <is>
          <t>None</t>
        </is>
      </c>
      <c r="M220" s="11" t="inlineStr">
        <is>
          <t>Macro connectors + calendar</t>
        </is>
      </c>
      <c r="N220" s="11" t="inlineStr">
        <is>
          <t>—</t>
        </is>
      </c>
      <c r="O220" s="11" t="inlineStr"/>
      <c r="P220" s="11" t="inlineStr">
        <is>
          <t>2026-09-24</t>
        </is>
      </c>
      <c r="Q220" s="14" t="inlineStr"/>
      <c r="R220" s="14" t="inlineStr"/>
    </row>
    <row r="221">
      <c r="A221" s="11" t="n">
        <v>220</v>
      </c>
      <c r="B221" s="11" t="n">
        <v>7</v>
      </c>
      <c r="C221" s="11" t="inlineStr">
        <is>
          <t>Advanced Quant</t>
        </is>
      </c>
      <c r="D221" s="11" t="inlineStr">
        <is>
          <t>AD-01</t>
        </is>
      </c>
      <c r="E221" s="11" t="inlineStr">
        <is>
          <t>Alternative Data</t>
        </is>
      </c>
      <c r="F221" s="11" t="inlineStr">
        <is>
          <t>Alt-data framework</t>
        </is>
      </c>
      <c r="G221" s="17" t="inlineStr">
        <is>
          <t>YET TO START</t>
        </is>
      </c>
      <c r="H221" s="13" t="n">
        <v>0</v>
      </c>
      <c r="I221" s="11" t="inlineStr"/>
      <c r="J221" s="11" t="inlineStr">
        <is>
          <t>—</t>
        </is>
      </c>
      <c r="K221" s="11" t="inlineStr">
        <is>
          <t>Development</t>
        </is>
      </c>
      <c r="L221" s="11" t="inlineStr">
        <is>
          <t>None</t>
        </is>
      </c>
      <c r="M221" s="11" t="inlineStr">
        <is>
          <t>DataSource interface</t>
        </is>
      </c>
      <c r="N221" s="11" t="inlineStr">
        <is>
          <t>—</t>
        </is>
      </c>
      <c r="O221" s="11" t="inlineStr"/>
      <c r="P221" s="11" t="inlineStr">
        <is>
          <t>2026-09-24</t>
        </is>
      </c>
      <c r="Q221" s="14" t="inlineStr"/>
      <c r="R221" s="14" t="inlineStr"/>
    </row>
    <row r="222">
      <c r="A222" s="11" t="n">
        <v>221</v>
      </c>
      <c r="B222" s="11" t="n">
        <v>7</v>
      </c>
      <c r="C222" s="11" t="inlineStr">
        <is>
          <t>Advanced Quant</t>
        </is>
      </c>
      <c r="D222" s="11" t="inlineStr">
        <is>
          <t>AD-02</t>
        </is>
      </c>
      <c r="E222" s="11" t="inlineStr">
        <is>
          <t>Alternative Data</t>
        </is>
      </c>
      <c r="F222" s="11" t="inlineStr">
        <is>
          <t>Alt-data sources</t>
        </is>
      </c>
      <c r="G222" s="17" t="inlineStr">
        <is>
          <t>YET TO START</t>
        </is>
      </c>
      <c r="H222" s="13" t="n">
        <v>0</v>
      </c>
      <c r="I222" s="11" t="inlineStr"/>
      <c r="J222" s="11" t="inlineStr">
        <is>
          <t>—</t>
        </is>
      </c>
      <c r="K222" s="11" t="inlineStr">
        <is>
          <t>Development</t>
        </is>
      </c>
      <c r="L222" s="11" t="inlineStr">
        <is>
          <t>None</t>
        </is>
      </c>
      <c r="M222" s="11" t="inlineStr">
        <is>
          <t>Add sources</t>
        </is>
      </c>
      <c r="N222" s="11" t="inlineStr">
        <is>
          <t>—</t>
        </is>
      </c>
      <c r="O222" s="11" t="inlineStr">
        <is>
          <t>AD-01</t>
        </is>
      </c>
      <c r="P222" s="11" t="inlineStr">
        <is>
          <t>2026-09-24</t>
        </is>
      </c>
      <c r="Q222" s="14" t="inlineStr"/>
      <c r="R222" s="14" t="inlineStr"/>
    </row>
    <row r="223">
      <c r="A223" s="11" t="n">
        <v>222</v>
      </c>
      <c r="B223" s="11" t="n">
        <v>7</v>
      </c>
      <c r="C223" s="11" t="inlineStr">
        <is>
          <t>Advanced Quant</t>
        </is>
      </c>
      <c r="D223" s="11" t="inlineStr">
        <is>
          <t>DP-22</t>
        </is>
      </c>
      <c r="E223" s="11" t="inlineStr">
        <is>
          <t>Data Platform</t>
        </is>
      </c>
      <c r="F223" s="11" t="inlineStr">
        <is>
          <t>Point-in-time data lake</t>
        </is>
      </c>
      <c r="G223" s="17" t="inlineStr">
        <is>
          <t>YET TO START</t>
        </is>
      </c>
      <c r="H223" s="13" t="n">
        <v>0.05</v>
      </c>
      <c r="I223" s="11" t="inlineStr"/>
      <c r="J223" s="11" t="inlineStr">
        <is>
          <t>—</t>
        </is>
      </c>
      <c r="K223" s="11" t="inlineStr">
        <is>
          <t>Development</t>
        </is>
      </c>
      <c r="L223" s="11" t="inlineStr">
        <is>
          <t>SQLite only</t>
        </is>
      </c>
      <c r="M223" s="11" t="inlineStr">
        <is>
          <t>Parquet/DuckDB store</t>
        </is>
      </c>
      <c r="N223" s="11" t="inlineStr">
        <is>
          <t>—</t>
        </is>
      </c>
      <c r="O223" s="11" t="inlineStr"/>
      <c r="P223" s="11" t="inlineStr">
        <is>
          <t>2026-09-24</t>
        </is>
      </c>
      <c r="Q223" s="14" t="inlineStr"/>
      <c r="R223" s="14" t="inlineStr"/>
    </row>
    <row r="224">
      <c r="A224" s="11" t="n">
        <v>223</v>
      </c>
      <c r="B224" s="11" t="n">
        <v>7</v>
      </c>
      <c r="C224" s="11" t="inlineStr">
        <is>
          <t>Advanced Quant</t>
        </is>
      </c>
      <c r="D224" s="11" t="inlineStr">
        <is>
          <t>DP-21</t>
        </is>
      </c>
      <c r="E224" s="11" t="inlineStr">
        <is>
          <t>Data Platform</t>
        </is>
      </c>
      <c r="F224" s="11" t="inlineStr">
        <is>
          <t>Multi-asset data</t>
        </is>
      </c>
      <c r="G224" s="17" t="inlineStr">
        <is>
          <t>YET TO START</t>
        </is>
      </c>
      <c r="H224" s="13" t="n">
        <v>0</v>
      </c>
      <c r="I224" s="11" t="inlineStr"/>
      <c r="J224" s="11" t="inlineStr">
        <is>
          <t>—</t>
        </is>
      </c>
      <c r="K224" s="11" t="inlineStr">
        <is>
          <t>Development</t>
        </is>
      </c>
      <c r="L224" s="11" t="inlineStr">
        <is>
          <t>Global display tickers only</t>
        </is>
      </c>
      <c r="M224" s="11" t="inlineStr">
        <is>
          <t>MCX/CDS/bond/MF feeds</t>
        </is>
      </c>
      <c r="N224" s="11" t="inlineStr">
        <is>
          <t>—</t>
        </is>
      </c>
      <c r="O224" s="11" t="inlineStr"/>
      <c r="P224" s="11" t="inlineStr">
        <is>
          <t>2026-09-24</t>
        </is>
      </c>
      <c r="Q224" s="14" t="inlineStr"/>
      <c r="R224" s="14" t="inlineStr"/>
    </row>
    <row r="225">
      <c r="A225" s="11" t="n">
        <v>224</v>
      </c>
      <c r="B225" s="11" t="n">
        <v>8</v>
      </c>
      <c r="C225" s="11" t="inlineStr">
        <is>
          <t>Production Hardening</t>
        </is>
      </c>
      <c r="D225" s="11" t="inlineStr">
        <is>
          <t>MON-05</t>
        </is>
      </c>
      <c r="E225" s="11" t="inlineStr">
        <is>
          <t>Monitoring</t>
        </is>
      </c>
      <c r="F225" s="11" t="inlineStr">
        <is>
          <t>Model/factor decay monitoring</t>
        </is>
      </c>
      <c r="G225" s="16" t="inlineStr">
        <is>
          <t>IMPLEMENTED BUT NOT VERIFIED</t>
        </is>
      </c>
      <c r="H225" s="13" t="n">
        <v>0.75</v>
      </c>
      <c r="I225" s="11" t="inlineStr">
        <is>
          <t>W24</t>
        </is>
      </c>
      <c r="J225" s="11" t="inlineStr">
        <is>
          <t>Live (ATIP-W24-RC1)</t>
        </is>
      </c>
      <c r="K225" s="11" t="inlineStr">
        <is>
          <t>Independent QA</t>
        </is>
      </c>
      <c r="L225" s="11" t="inlineStr">
        <is>
          <t>W24: model + factor IC decay monitoring with alerts</t>
        </is>
      </c>
      <c r="M225" s="11" t="inlineStr">
        <is>
          <t>Needs factor history (W22 backfill)</t>
        </is>
      </c>
      <c r="N225" s="11" t="inlineStr">
        <is>
          <t>ml/decay.py</t>
        </is>
      </c>
      <c r="O225" s="11" t="inlineStr">
        <is>
          <t>QR-02; ML-09</t>
        </is>
      </c>
      <c r="P225" s="11" t="inlineStr">
        <is>
          <t>2026-09-27</t>
        </is>
      </c>
      <c r="Q225" s="14" t="inlineStr"/>
      <c r="R225" s="14" t="inlineStr"/>
    </row>
    <row r="226">
      <c r="A226" s="11" t="n">
        <v>225</v>
      </c>
      <c r="B226" s="11" t="n">
        <v>8</v>
      </c>
      <c r="C226" s="11" t="inlineStr">
        <is>
          <t>Production Hardening</t>
        </is>
      </c>
      <c r="D226" s="11" t="inlineStr">
        <is>
          <t>OPS-06</t>
        </is>
      </c>
      <c r="E226" s="11" t="inlineStr">
        <is>
          <t>Deployment/Ops</t>
        </is>
      </c>
      <c r="F226" s="11" t="inlineStr">
        <is>
          <t>DR / backup automation</t>
        </is>
      </c>
      <c r="G226" s="15" t="inlineStr">
        <is>
          <t>IN PROGRESS</t>
        </is>
      </c>
      <c r="H226" s="13" t="n">
        <v>0.6</v>
      </c>
      <c r="I226" s="11" t="inlineStr"/>
      <c r="J226" s="11" t="inlineStr">
        <is>
          <t>—</t>
        </is>
      </c>
      <c r="K226" s="11" t="inlineStr">
        <is>
          <t>Development</t>
        </is>
      </c>
      <c r="L226" s="11" t="inlineStr">
        <is>
          <t>Verified daily backups + retention; DR runbook with RPO 24 h / RTO ~10 min; pre-release backup procedure</t>
        </is>
      </c>
      <c r="M226" s="11" t="inlineStr">
        <is>
          <t>Off-site backup target; scheduled restore drill; backup encryption</t>
        </is>
      </c>
      <c r="N226" s="11" t="inlineStr">
        <is>
          <t>ops/backup.py; docs/DISASTER_RECOVERY.md</t>
        </is>
      </c>
      <c r="O226" s="11" t="inlineStr">
        <is>
          <t>DBS-03</t>
        </is>
      </c>
      <c r="P226" s="11" t="inlineStr">
        <is>
          <t>2026-09-25</t>
        </is>
      </c>
      <c r="Q226" s="14" t="inlineStr"/>
      <c r="R226" s="14" t="inlineStr"/>
    </row>
    <row r="227">
      <c r="A227" s="11" t="n">
        <v>226</v>
      </c>
      <c r="B227" s="11" t="n">
        <v>8</v>
      </c>
      <c r="C227" s="11" t="inlineStr">
        <is>
          <t>Production Hardening</t>
        </is>
      </c>
      <c r="D227" s="11" t="inlineStr">
        <is>
          <t>SEC-04</t>
        </is>
      </c>
      <c r="E227" s="11" t="inlineStr">
        <is>
          <t>Security</t>
        </is>
      </c>
      <c r="F227" s="11" t="inlineStr">
        <is>
          <t>Encryption</t>
        </is>
      </c>
      <c r="G227" s="15" t="inlineStr">
        <is>
          <t>IN PROGRESS</t>
        </is>
      </c>
      <c r="H227" s="13" t="n">
        <v>0.5</v>
      </c>
      <c r="I227" s="11" t="inlineStr"/>
      <c r="J227" s="11" t="inlineStr">
        <is>
          <t>—</t>
        </is>
      </c>
      <c r="K227" s="11" t="inlineStr">
        <is>
          <t>Development</t>
        </is>
      </c>
      <c r="L227" s="11" t="inlineStr">
        <is>
          <t>AES-256-GCM field encryption (ops/crypto.py, key from ATIP_ENCRYPTION_KEY, AAD-bound, no plaintext fallback); used for MFA secrets; sensitive-field classification; TLS 1.3 reverse-proxy architecture documented (ATIP stays on 127.0.0.1)</t>
        </is>
      </c>
      <c r="M227" s="11" t="inlineStr">
        <is>
          <t>Encrypt broker credentials (ENT-06); key rotation re-encryption; TLS only with ENT-07</t>
        </is>
      </c>
      <c r="N227" s="11" t="inlineStr">
        <is>
          <t>ops/crypto.py; docs/SECURITY_ARCHITECTURE.md</t>
        </is>
      </c>
      <c r="O227" s="11" t="inlineStr"/>
      <c r="P227" s="11" t="inlineStr">
        <is>
          <t>2026-09-25</t>
        </is>
      </c>
      <c r="Q227" s="14" t="inlineStr"/>
      <c r="R227" s="14" t="inlineStr"/>
    </row>
    <row r="228">
      <c r="A228" s="11" t="n">
        <v>227</v>
      </c>
      <c r="B228" s="11" t="n">
        <v>8</v>
      </c>
      <c r="C228" s="11" t="inlineStr">
        <is>
          <t>Production Hardening</t>
        </is>
      </c>
      <c r="D228" s="11" t="inlineStr">
        <is>
          <t>API-05</t>
        </is>
      </c>
      <c r="E228" s="11" t="inlineStr">
        <is>
          <t>APIs</t>
        </is>
      </c>
      <c r="F228" s="11" t="inlineStr">
        <is>
          <t>API contracts/docs</t>
        </is>
      </c>
      <c r="G228" s="15" t="inlineStr">
        <is>
          <t>IN PROGRESS</t>
        </is>
      </c>
      <c r="H228" s="13" t="n">
        <v>0.4</v>
      </c>
      <c r="I228" s="11" t="inlineStr"/>
      <c r="J228" s="11" t="inlineStr">
        <is>
          <t>—</t>
        </is>
      </c>
      <c r="K228" s="11" t="inlineStr">
        <is>
          <t>Development</t>
        </is>
      </c>
      <c r="L228" s="11" t="inlineStr">
        <is>
          <t>Error envelope + codes, versioning, pagination, idempotency and security headers documented</t>
        </is>
      </c>
      <c r="M228" s="11" t="inlineStr">
        <is>
          <t>Generated API reference</t>
        </is>
      </c>
      <c r="N228" s="11" t="inlineStr">
        <is>
          <t>docs/PRODUCTION_ARCHITECTURE.md; ops/errors.py</t>
        </is>
      </c>
      <c r="O228" s="11" t="inlineStr"/>
      <c r="P228" s="11" t="inlineStr">
        <is>
          <t>2026-09-25</t>
        </is>
      </c>
      <c r="Q228" s="14" t="inlineStr"/>
      <c r="R228" s="14" t="inlineStr"/>
    </row>
    <row r="229">
      <c r="A229" s="11" t="n">
        <v>228</v>
      </c>
      <c r="B229" s="11" t="n">
        <v>8</v>
      </c>
      <c r="C229" s="11" t="inlineStr">
        <is>
          <t>Production Hardening</t>
        </is>
      </c>
      <c r="D229" s="11" t="inlineStr">
        <is>
          <t>API-06</t>
        </is>
      </c>
      <c r="E229" s="11" t="inlineStr">
        <is>
          <t>APIs</t>
        </is>
      </c>
      <c r="F229" s="11" t="inlineStr">
        <is>
          <t>Widget JSON schemas</t>
        </is>
      </c>
      <c r="G229" s="17" t="inlineStr">
        <is>
          <t>YET TO START</t>
        </is>
      </c>
      <c r="H229" s="13" t="n">
        <v>0.05</v>
      </c>
      <c r="I229" s="11" t="inlineStr"/>
      <c r="J229" s="11" t="inlineStr">
        <is>
          <t>—</t>
        </is>
      </c>
      <c r="K229" s="11" t="inlineStr">
        <is>
          <t>Development</t>
        </is>
      </c>
      <c r="L229" s="11" t="inlineStr">
        <is>
          <t>None</t>
        </is>
      </c>
      <c r="M229" s="11" t="inlineStr">
        <is>
          <t>Define schemas</t>
        </is>
      </c>
      <c r="N229" s="11" t="inlineStr">
        <is>
          <t>—</t>
        </is>
      </c>
      <c r="O229" s="11" t="inlineStr"/>
      <c r="P229" s="11" t="inlineStr">
        <is>
          <t>2026-09-24</t>
        </is>
      </c>
      <c r="Q229" s="14" t="inlineStr"/>
      <c r="R229" s="14" t="inlineStr"/>
    </row>
    <row r="230">
      <c r="A230" s="11" t="n">
        <v>229</v>
      </c>
      <c r="B230" s="11" t="n">
        <v>8</v>
      </c>
      <c r="C230" s="11" t="inlineStr">
        <is>
          <t>Production Hardening</t>
        </is>
      </c>
      <c r="D230" s="11" t="inlineStr">
        <is>
          <t>OPS-05</t>
        </is>
      </c>
      <c r="E230" s="11" t="inlineStr">
        <is>
          <t>Deployment/Ops</t>
        </is>
      </c>
      <c r="F230" s="11" t="inlineStr">
        <is>
          <t>Documentation set</t>
        </is>
      </c>
      <c r="G230" s="15" t="inlineStr">
        <is>
          <t>IN PROGRESS</t>
        </is>
      </c>
      <c r="H230" s="13" t="n">
        <v>0.6</v>
      </c>
      <c r="I230" s="11" t="inlineStr"/>
      <c r="J230" s="11" t="inlineStr">
        <is>
          <t>—</t>
        </is>
      </c>
      <c r="K230" s="11" t="inlineStr">
        <is>
          <t>Development</t>
        </is>
      </c>
      <c r="L230" s="11" t="inlineStr">
        <is>
          <t>W8 set: production architecture, security, observability, DR, backup/restore, deployment, rollback, operations runbook, production configuration</t>
        </is>
      </c>
      <c r="M230" s="11" t="inlineStr">
        <is>
          <t>User guide; API reference</t>
        </is>
      </c>
      <c r="N230" s="11" t="inlineStr">
        <is>
          <t>docs/</t>
        </is>
      </c>
      <c r="O230" s="11" t="inlineStr"/>
      <c r="P230" s="11" t="inlineStr">
        <is>
          <t>2026-09-25</t>
        </is>
      </c>
      <c r="Q230" s="14" t="inlineStr"/>
      <c r="R230" s="14" t="inlineStr"/>
    </row>
    <row r="231">
      <c r="A231" s="11" t="n">
        <v>230</v>
      </c>
      <c r="B231" s="11" t="n">
        <v>9</v>
      </c>
      <c r="C231" s="11" t="inlineStr">
        <is>
          <t>Enterprise SaaS (final objective)</t>
        </is>
      </c>
      <c r="D231" s="11" t="inlineStr">
        <is>
          <t>ENT-01</t>
        </is>
      </c>
      <c r="E231" s="11" t="inlineStr">
        <is>
          <t>Enterprise Platform</t>
        </is>
      </c>
      <c r="F231" s="11" t="inlineStr">
        <is>
          <t>Multi-tenant architecture</t>
        </is>
      </c>
      <c r="G231" s="15" t="inlineStr">
        <is>
          <t>IN PROGRESS</t>
        </is>
      </c>
      <c r="H231" s="13" t="n">
        <v>0.6</v>
      </c>
      <c r="I231" s="11" t="inlineStr"/>
      <c r="J231" s="11" t="inlineStr">
        <is>
          <t>—</t>
        </is>
      </c>
      <c r="K231" s="11" t="inlineStr">
        <is>
          <t>Development</t>
        </is>
      </c>
      <c r="L231" s="11" t="inlineStr">
        <is>
          <t>Tenants + lifecycle + limits; tenant_id on tenant-owned W3-W6 tables; middleware isolation (single-resource 404, list filtering, create stamping); single shared paper book</t>
        </is>
      </c>
      <c r="M231" s="11" t="inlineStr">
        <is>
          <t>Per-tenant paper books / broker accounts; SQL-level scoping</t>
        </is>
      </c>
      <c r="N231" s="11" t="inlineStr">
        <is>
          <t>enterprise/tenants.py; enterprise/authz.py; db/schema.py</t>
        </is>
      </c>
      <c r="O231" s="11" t="inlineStr">
        <is>
          <t>OPS-05</t>
        </is>
      </c>
      <c r="P231" s="11" t="inlineStr">
        <is>
          <t>2026-09-25</t>
        </is>
      </c>
      <c r="Q231" s="14" t="inlineStr"/>
      <c r="R231" s="14" t="inlineStr"/>
    </row>
    <row r="232">
      <c r="A232" s="11" t="n">
        <v>231</v>
      </c>
      <c r="B232" s="11" t="n">
        <v>9</v>
      </c>
      <c r="C232" s="11" t="inlineStr">
        <is>
          <t>Enterprise SaaS (final objective)</t>
        </is>
      </c>
      <c r="D232" s="11" t="inlineStr">
        <is>
          <t>DBS-05</t>
        </is>
      </c>
      <c r="E232" s="11" t="inlineStr">
        <is>
          <t>Database</t>
        </is>
      </c>
      <c r="F232" s="11" t="inlineStr">
        <is>
          <t>Scalable database</t>
        </is>
      </c>
      <c r="G232" s="17" t="inlineStr">
        <is>
          <t>YET TO START</t>
        </is>
      </c>
      <c r="H232" s="13" t="n">
        <v>0</v>
      </c>
      <c r="I232" s="11" t="inlineStr"/>
      <c r="J232" s="11" t="inlineStr">
        <is>
          <t>—</t>
        </is>
      </c>
      <c r="K232" s="11" t="inlineStr">
        <is>
          <t>Owner: Move to Postgres</t>
        </is>
      </c>
      <c r="L232" s="11" t="inlineStr">
        <is>
          <t>SQLite</t>
        </is>
      </c>
      <c r="M232" s="11" t="inlineStr">
        <is>
          <t>Migrate to Postgres</t>
        </is>
      </c>
      <c r="N232" s="11" t="inlineStr">
        <is>
          <t>—</t>
        </is>
      </c>
      <c r="O232" s="11" t="inlineStr">
        <is>
          <t>ENT-01</t>
        </is>
      </c>
      <c r="P232" s="11" t="inlineStr">
        <is>
          <t>2026-09-24</t>
        </is>
      </c>
      <c r="Q232" s="14" t="inlineStr"/>
      <c r="R232" s="14" t="inlineStr"/>
    </row>
    <row r="233">
      <c r="A233" s="11" t="n">
        <v>232</v>
      </c>
      <c r="B233" s="11" t="n">
        <v>9</v>
      </c>
      <c r="C233" s="11" t="inlineStr">
        <is>
          <t>Enterprise SaaS (final objective)</t>
        </is>
      </c>
      <c r="D233" s="11" t="inlineStr">
        <is>
          <t>ENT-07</t>
        </is>
      </c>
      <c r="E233" s="11" t="inlineStr">
        <is>
          <t>Security</t>
        </is>
      </c>
      <c r="F233" s="11" t="inlineStr">
        <is>
          <t>Secure internet exposure</t>
        </is>
      </c>
      <c r="G233" s="18" t="inlineStr">
        <is>
          <t>BLOCKED</t>
        </is>
      </c>
      <c r="H233" s="13" t="n">
        <v>0.05</v>
      </c>
      <c r="I233" s="11" t="inlineStr"/>
      <c r="J233" s="11" t="inlineStr">
        <is>
          <t>—</t>
        </is>
      </c>
      <c r="K233" s="11" t="inlineStr">
        <is>
          <t>Owner: Security architecture + decision to expose</t>
        </is>
      </c>
      <c r="L233" s="11" t="inlineStr">
        <is>
          <t>Not implemented by design: W7 keeps the 127.0.0.1 bind; exposure needs TLS, MFA, rate limiting, security review</t>
        </is>
      </c>
      <c r="M233" s="11" t="inlineStr">
        <is>
          <t>Owner decision + security architecture</t>
        </is>
      </c>
      <c r="N233" s="11" t="inlineStr">
        <is>
          <t>dashboard/security.py</t>
        </is>
      </c>
      <c r="O233" s="11" t="inlineStr">
        <is>
          <t>ENT-01</t>
        </is>
      </c>
      <c r="P233" s="11" t="inlineStr">
        <is>
          <t>2026-09-25</t>
        </is>
      </c>
      <c r="Q233" s="14" t="inlineStr"/>
      <c r="R233" s="14" t="inlineStr"/>
    </row>
    <row r="234">
      <c r="A234" s="11" t="n">
        <v>233</v>
      </c>
      <c r="B234" s="11" t="n">
        <v>9</v>
      </c>
      <c r="C234" s="11" t="inlineStr">
        <is>
          <t>Enterprise SaaS (final objective)</t>
        </is>
      </c>
      <c r="D234" s="11" t="inlineStr">
        <is>
          <t>SEC-02</t>
        </is>
      </c>
      <c r="E234" s="11" t="inlineStr">
        <is>
          <t>Security</t>
        </is>
      </c>
      <c r="F234" s="11" t="inlineStr">
        <is>
          <t>Users / RBAC / MFA</t>
        </is>
      </c>
      <c r="G234" s="15" t="inlineStr">
        <is>
          <t>IN PROGRESS</t>
        </is>
      </c>
      <c r="H234" s="13" t="n">
        <v>0.85</v>
      </c>
      <c r="I234" s="11" t="inlineStr"/>
      <c r="J234" s="11" t="inlineStr">
        <is>
          <t>—</t>
        </is>
      </c>
      <c r="K234" s="11" t="inlineStr">
        <is>
          <t>Development</t>
        </is>
      </c>
      <c r="L234" s="11" t="inlineStr">
        <is>
          <t>Users + 8 roles + 27 permissions, per-tenant roles, route-&gt;permission middleware; W8 TOTP MFA (enroll/confirm/disable, admin reset, login otp, encrypted secret, replay-refusing)</t>
        </is>
      </c>
      <c r="M234" s="11" t="inlineStr">
        <is>
          <t>WebAuthn / recovery codes</t>
        </is>
      </c>
      <c r="N234" s="11" t="inlineStr">
        <is>
          <t>enterprise/mfa.py; enterprise/users.py; enterprise/authz.py</t>
        </is>
      </c>
      <c r="O234" s="11" t="inlineStr">
        <is>
          <t>ENT-07</t>
        </is>
      </c>
      <c r="P234" s="11" t="inlineStr">
        <is>
          <t>2026-09-25</t>
        </is>
      </c>
      <c r="Q234" s="14" t="inlineStr"/>
      <c r="R234" s="14" t="inlineStr"/>
    </row>
    <row r="235">
      <c r="A235" s="11" t="n">
        <v>234</v>
      </c>
      <c r="B235" s="11" t="n">
        <v>9</v>
      </c>
      <c r="C235" s="11" t="inlineStr">
        <is>
          <t>Enterprise SaaS (final objective)</t>
        </is>
      </c>
      <c r="D235" s="11" t="inlineStr">
        <is>
          <t>ENT-05</t>
        </is>
      </c>
      <c r="E235" s="11" t="inlineStr">
        <is>
          <t>Security</t>
        </is>
      </c>
      <c r="F235" s="11" t="inlineStr">
        <is>
          <t>Session management</t>
        </is>
      </c>
      <c r="G235" s="12" t="inlineStr">
        <is>
          <t>COMPLETED</t>
        </is>
      </c>
      <c r="H235" s="13" t="n">
        <v>0.9</v>
      </c>
      <c r="I235" s="11" t="inlineStr"/>
      <c r="J235" s="11" t="inlineStr">
        <is>
          <t>Live (ATIP-W24-RC1)</t>
        </is>
      </c>
      <c r="K235" s="11" t="inlineStr"/>
      <c r="L235" s="11" t="inlineStr">
        <is>
          <t>Sessions (digest-only, expiry, revoke) + W8 refresh tokens: rotation on every use, reuse detection revokes the family and all sessions, HttpOnly cookie scoped to /api/auth/refresh</t>
        </is>
      </c>
      <c r="M235" s="11" t="inlineStr">
        <is>
          <t>Validate</t>
        </is>
      </c>
      <c r="N235" s="11" t="inlineStr">
        <is>
          <t>enterprise/users.py; dashboard/enterprise_routes.py</t>
        </is>
      </c>
      <c r="O235" s="11" t="inlineStr">
        <is>
          <t>SEC-02</t>
        </is>
      </c>
      <c r="P235" s="11" t="inlineStr">
        <is>
          <t>2026-09-25</t>
        </is>
      </c>
      <c r="Q235" s="14" t="inlineStr"/>
      <c r="R235" s="14" t="inlineStr"/>
    </row>
    <row r="236">
      <c r="A236" s="11" t="n">
        <v>235</v>
      </c>
      <c r="B236" s="11" t="n">
        <v>9</v>
      </c>
      <c r="C236" s="11" t="inlineStr">
        <is>
          <t>Enterprise SaaS (final objective)</t>
        </is>
      </c>
      <c r="D236" s="11" t="inlineStr">
        <is>
          <t>ENT-02</t>
        </is>
      </c>
      <c r="E236" s="11" t="inlineStr">
        <is>
          <t>User Management</t>
        </is>
      </c>
      <c r="F236" s="11" t="inlineStr">
        <is>
          <t>User registration/onboarding</t>
        </is>
      </c>
      <c r="G236" s="15" t="inlineStr">
        <is>
          <t>IN PROGRESS</t>
        </is>
      </c>
      <c r="H236" s="13" t="n">
        <v>0.7</v>
      </c>
      <c r="I236" s="11" t="inlineStr"/>
      <c r="J236" s="11" t="inlineStr">
        <is>
          <t>—</t>
        </is>
      </c>
      <c r="K236" s="11" t="inlineStr">
        <is>
          <t>Development</t>
        </is>
      </c>
      <c r="L236" s="11" t="inlineStr">
        <is>
          <t>Admin-created users (must change password), optional self-registration (PENDING + own FREE-trial tenant), activation, reset tokens; no e-mail</t>
        </is>
      </c>
      <c r="M236" s="11" t="inlineStr">
        <is>
          <t>E-mail verification</t>
        </is>
      </c>
      <c r="N236" s="11" t="inlineStr">
        <is>
          <t>enterprise/users.py; dashboard/enterprise_routes.py</t>
        </is>
      </c>
      <c r="O236" s="11" t="inlineStr">
        <is>
          <t>SEC-02</t>
        </is>
      </c>
      <c r="P236" s="11" t="inlineStr">
        <is>
          <t>2026-09-25</t>
        </is>
      </c>
      <c r="Q236" s="14" t="inlineStr"/>
      <c r="R236" s="14" t="inlineStr"/>
    </row>
    <row r="237">
      <c r="A237" s="11" t="n">
        <v>236</v>
      </c>
      <c r="B237" s="11" t="n">
        <v>9</v>
      </c>
      <c r="C237" s="11" t="inlineStr">
        <is>
          <t>Enterprise SaaS (final objective)</t>
        </is>
      </c>
      <c r="D237" s="11" t="inlineStr">
        <is>
          <t>ENT-03</t>
        </is>
      </c>
      <c r="E237" s="11" t="inlineStr">
        <is>
          <t>User Management</t>
        </is>
      </c>
      <c r="F237" s="11" t="inlineStr">
        <is>
          <t>User profile + risk profile</t>
        </is>
      </c>
      <c r="G237" s="15" t="inlineStr">
        <is>
          <t>IN PROGRESS</t>
        </is>
      </c>
      <c r="H237" s="13" t="n">
        <v>0.65</v>
      </c>
      <c r="I237" s="11" t="inlineStr"/>
      <c r="J237" s="11" t="inlineStr">
        <is>
          <t>—</t>
        </is>
      </c>
      <c r="K237" s="11" t="inlineStr">
        <is>
          <t>Development</t>
        </is>
      </c>
      <c r="L237" s="11" t="inlineStr">
        <is>
          <t>Profile + preferences; tenant/user trading profiles (trading enabled, modes, brokers, assets, strategies, capital, order value) — tighten W4 only</t>
        </is>
      </c>
      <c r="M237" s="11" t="inlineStr">
        <is>
          <t>Per-user capital accounting</t>
        </is>
      </c>
      <c r="N237" s="11" t="inlineStr">
        <is>
          <t>enterprise/profiles.py; execution/risk_engine.py</t>
        </is>
      </c>
      <c r="O237" s="11" t="inlineStr">
        <is>
          <t>ENT-02</t>
        </is>
      </c>
      <c r="P237" s="11" t="inlineStr">
        <is>
          <t>2026-09-25</t>
        </is>
      </c>
      <c r="Q237" s="14" t="inlineStr"/>
      <c r="R237" s="14" t="inlineStr"/>
    </row>
    <row r="238">
      <c r="A238" s="11" t="n">
        <v>237</v>
      </c>
      <c r="B238" s="11" t="n">
        <v>9</v>
      </c>
      <c r="C238" s="11" t="inlineStr">
        <is>
          <t>Enterprise SaaS (final objective)</t>
        </is>
      </c>
      <c r="D238" s="11" t="inlineStr">
        <is>
          <t>ENT-06</t>
        </is>
      </c>
      <c r="E238" s="11" t="inlineStr">
        <is>
          <t>Security</t>
        </is>
      </c>
      <c r="F238" s="11" t="inlineStr">
        <is>
          <t>Per-user broker credential vault</t>
        </is>
      </c>
      <c r="G238" s="17" t="inlineStr">
        <is>
          <t>YET TO START</t>
        </is>
      </c>
      <c r="H238" s="13" t="n">
        <v>0</v>
      </c>
      <c r="I238" s="11" t="inlineStr"/>
      <c r="J238" s="11" t="inlineStr">
        <is>
          <t>—</t>
        </is>
      </c>
      <c r="K238" s="11" t="inlineStr">
        <is>
          <t>Owner: Design broker credential vault</t>
        </is>
      </c>
      <c r="L238" s="11" t="inlineStr">
        <is>
          <t>Not built: per-user broker credential vault (Claude does not handle credentials)</t>
        </is>
      </c>
      <c r="M238" s="11" t="inlineStr">
        <is>
          <t>Design with the owner</t>
        </is>
      </c>
      <c r="N238" s="11" t="inlineStr">
        <is>
          <t>—</t>
        </is>
      </c>
      <c r="O238" s="11" t="inlineStr">
        <is>
          <t>SEC-02</t>
        </is>
      </c>
      <c r="P238" s="11" t="inlineStr">
        <is>
          <t>2026-09-25</t>
        </is>
      </c>
      <c r="Q238" s="14" t="inlineStr"/>
      <c r="R238" s="14" t="inlineStr"/>
    </row>
    <row r="239">
      <c r="A239" s="11" t="n">
        <v>238</v>
      </c>
      <c r="B239" s="11" t="n">
        <v>9</v>
      </c>
      <c r="C239" s="11" t="inlineStr">
        <is>
          <t>Enterprise SaaS (final objective)</t>
        </is>
      </c>
      <c r="D239" s="11" t="inlineStr">
        <is>
          <t>ENT-14</t>
        </is>
      </c>
      <c r="E239" s="11" t="inlineStr">
        <is>
          <t>Compliance</t>
        </is>
      </c>
      <c r="F239" s="11" t="inlineStr">
        <is>
          <t>Regulatory approvals</t>
        </is>
      </c>
      <c r="G239" s="17" t="inlineStr">
        <is>
          <t>YET TO START</t>
        </is>
      </c>
      <c r="H239" s="13" t="n">
        <v>0</v>
      </c>
      <c r="I239" s="11" t="inlineStr"/>
      <c r="J239" s="11" t="inlineStr">
        <is>
          <t>—</t>
        </is>
      </c>
      <c r="K239" s="11" t="inlineStr">
        <is>
          <t>Owner: Legal / SEBI review</t>
        </is>
      </c>
      <c r="L239" s="11" t="inlineStr">
        <is>
          <t>None</t>
        </is>
      </c>
      <c r="M239" s="11" t="inlineStr">
        <is>
          <t>Legal review before offering to other users</t>
        </is>
      </c>
      <c r="N239" s="11" t="inlineStr">
        <is>
          <t>—</t>
        </is>
      </c>
      <c r="O239" s="11" t="inlineStr"/>
      <c r="P239" s="11" t="inlineStr">
        <is>
          <t>2026-09-24</t>
        </is>
      </c>
      <c r="Q239" s="14" t="inlineStr"/>
      <c r="R239" s="14" t="inlineStr"/>
    </row>
    <row r="240">
      <c r="A240" s="11" t="n">
        <v>239</v>
      </c>
      <c r="B240" s="11" t="n">
        <v>9</v>
      </c>
      <c r="C240" s="11" t="inlineStr">
        <is>
          <t>Enterprise SaaS (final objective)</t>
        </is>
      </c>
      <c r="D240" s="11" t="inlineStr">
        <is>
          <t>SEC-05</t>
        </is>
      </c>
      <c r="E240" s="11" t="inlineStr">
        <is>
          <t>Security</t>
        </is>
      </c>
      <c r="F240" s="11" t="inlineStr">
        <is>
          <t>Compliance monitoring</t>
        </is>
      </c>
      <c r="G240" s="17" t="inlineStr">
        <is>
          <t>YET TO START</t>
        </is>
      </c>
      <c r="H240" s="13" t="n">
        <v>0</v>
      </c>
      <c r="I240" s="11" t="inlineStr"/>
      <c r="J240" s="11" t="inlineStr">
        <is>
          <t>—</t>
        </is>
      </c>
      <c r="K240" s="11" t="inlineStr">
        <is>
          <t>Development</t>
        </is>
      </c>
      <c r="L240" s="11" t="inlineStr">
        <is>
          <t>None</t>
        </is>
      </c>
      <c r="M240" s="11" t="inlineStr">
        <is>
          <t>Implement controls from ENT-14</t>
        </is>
      </c>
      <c r="N240" s="11" t="inlineStr">
        <is>
          <t>—</t>
        </is>
      </c>
      <c r="O240" s="11" t="inlineStr">
        <is>
          <t>ENT-14</t>
        </is>
      </c>
      <c r="P240" s="11" t="inlineStr">
        <is>
          <t>2026-09-24</t>
        </is>
      </c>
      <c r="Q240" s="14" t="inlineStr"/>
      <c r="R240" s="14" t="inlineStr"/>
    </row>
    <row r="241">
      <c r="A241" s="11" t="n">
        <v>240</v>
      </c>
      <c r="B241" s="11" t="n">
        <v>9</v>
      </c>
      <c r="C241" s="11" t="inlineStr">
        <is>
          <t>Enterprise SaaS (final objective)</t>
        </is>
      </c>
      <c r="D241" s="11" t="inlineStr">
        <is>
          <t>ENT-17</t>
        </is>
      </c>
      <c r="E241" s="11" t="inlineStr">
        <is>
          <t>Compliance</t>
        </is>
      </c>
      <c r="F241" s="11" t="inlineStr">
        <is>
          <t>Data privacy</t>
        </is>
      </c>
      <c r="G241" s="17" t="inlineStr">
        <is>
          <t>YET TO START</t>
        </is>
      </c>
      <c r="H241" s="13" t="n">
        <v>0</v>
      </c>
      <c r="I241" s="11" t="inlineStr"/>
      <c r="J241" s="11" t="inlineStr">
        <is>
          <t>—</t>
        </is>
      </c>
      <c r="K241" s="11" t="inlineStr">
        <is>
          <t>Development</t>
        </is>
      </c>
      <c r="L241" s="11" t="inlineStr">
        <is>
          <t>None</t>
        </is>
      </c>
      <c r="M241" s="11" t="inlineStr">
        <is>
          <t>Privacy policy + controls</t>
        </is>
      </c>
      <c r="N241" s="11" t="inlineStr">
        <is>
          <t>—</t>
        </is>
      </c>
      <c r="O241" s="11" t="inlineStr">
        <is>
          <t>ENT-14</t>
        </is>
      </c>
      <c r="P241" s="11" t="inlineStr">
        <is>
          <t>2026-09-24</t>
        </is>
      </c>
      <c r="Q241" s="14" t="inlineStr"/>
      <c r="R241" s="14" t="inlineStr"/>
    </row>
    <row r="242">
      <c r="A242" s="11" t="n">
        <v>241</v>
      </c>
      <c r="B242" s="11" t="n">
        <v>9</v>
      </c>
      <c r="C242" s="11" t="inlineStr">
        <is>
          <t>Enterprise SaaS (final objective)</t>
        </is>
      </c>
      <c r="D242" s="11" t="inlineStr">
        <is>
          <t>ENT-08</t>
        </is>
      </c>
      <c r="E242" s="11" t="inlineStr">
        <is>
          <t>Channels</t>
        </is>
      </c>
      <c r="F242" s="11" t="inlineStr">
        <is>
          <t>Multi-user web app</t>
        </is>
      </c>
      <c r="G242" s="15" t="inlineStr">
        <is>
          <t>IN PROGRESS</t>
        </is>
      </c>
      <c r="H242" s="13" t="n">
        <v>0.4</v>
      </c>
      <c r="I242" s="11" t="inlineStr"/>
      <c r="J242" s="11" t="inlineStr">
        <is>
          <t>—</t>
        </is>
      </c>
      <c r="K242" s="11" t="inlineStr">
        <is>
          <t>Development</t>
        </is>
      </c>
      <c r="L242" s="11" t="inlineStr">
        <is>
          <t>Multi-user sign-in (/login, /account, /admin) on the existing dashboard; still local-only</t>
        </is>
      </c>
      <c r="M242" s="11" t="inlineStr">
        <is>
          <t>Blocked on ENT-07 for any exposure</t>
        </is>
      </c>
      <c r="N242" s="11" t="inlineStr">
        <is>
          <t>dashboard/enterprise_*.py</t>
        </is>
      </c>
      <c r="O242" s="11" t="inlineStr">
        <is>
          <t>SEC-02</t>
        </is>
      </c>
      <c r="P242" s="11" t="inlineStr">
        <is>
          <t>2026-09-25</t>
        </is>
      </c>
      <c r="Q242" s="14" t="inlineStr"/>
      <c r="R242" s="14" t="inlineStr"/>
    </row>
    <row r="243">
      <c r="A243" s="11" t="n">
        <v>242</v>
      </c>
      <c r="B243" s="11" t="n">
        <v>9</v>
      </c>
      <c r="C243" s="11" t="inlineStr">
        <is>
          <t>Enterprise SaaS (final objective)</t>
        </is>
      </c>
      <c r="D243" s="11" t="inlineStr">
        <is>
          <t>ENT-04</t>
        </is>
      </c>
      <c r="E243" s="11" t="inlineStr">
        <is>
          <t>User Management</t>
        </is>
      </c>
      <c r="F243" s="11" t="inlineStr">
        <is>
          <t>Subscriptions &amp; billing</t>
        </is>
      </c>
      <c r="G243" s="15" t="inlineStr">
        <is>
          <t>IN PROGRESS</t>
        </is>
      </c>
      <c r="H243" s="13" t="n">
        <v>0.45</v>
      </c>
      <c r="I243" s="11" t="inlineStr"/>
      <c r="J243" s="11" t="inlineStr">
        <is>
          <t>—</t>
        </is>
      </c>
      <c r="K243" s="11" t="inlineStr">
        <is>
          <t>Owner: Payment gateway</t>
        </is>
      </c>
      <c r="L243" s="11" t="inlineStr">
        <is>
          <t>Plans (limits/features, no invented prices), subscriptions, usage metering, DRAFT invoices; no payment gateway</t>
        </is>
      </c>
      <c r="M243" s="11" t="inlineStr">
        <is>
          <t>Payment gateway (owner decision)</t>
        </is>
      </c>
      <c r="N243" s="11" t="inlineStr">
        <is>
          <t>enterprise/billing.py</t>
        </is>
      </c>
      <c r="O243" s="11" t="inlineStr">
        <is>
          <t>ENT-02</t>
        </is>
      </c>
      <c r="P243" s="11" t="inlineStr">
        <is>
          <t>2026-09-25</t>
        </is>
      </c>
      <c r="Q243" s="14" t="inlineStr"/>
      <c r="R243" s="14" t="inlineStr"/>
    </row>
    <row r="244">
      <c r="A244" s="11" t="n">
        <v>243</v>
      </c>
      <c r="B244" s="11" t="n">
        <v>9</v>
      </c>
      <c r="C244" s="11" t="inlineStr">
        <is>
          <t>Enterprise SaaS (final objective)</t>
        </is>
      </c>
      <c r="D244" s="11" t="inlineStr">
        <is>
          <t>ENT-18</t>
        </is>
      </c>
      <c r="E244" s="11" t="inlineStr">
        <is>
          <t>User Management</t>
        </is>
      </c>
      <c r="F244" s="11" t="inlineStr">
        <is>
          <t>Multi-device login</t>
        </is>
      </c>
      <c r="G244" s="15" t="inlineStr">
        <is>
          <t>IN PROGRESS</t>
        </is>
      </c>
      <c r="H244" s="13" t="n">
        <v>0.4</v>
      </c>
      <c r="I244" s="11" t="inlineStr"/>
      <c r="J244" s="11" t="inlineStr">
        <is>
          <t>—</t>
        </is>
      </c>
      <c r="K244" s="11" t="inlineStr">
        <is>
          <t>Development</t>
        </is>
      </c>
      <c r="L244" s="11" t="inlineStr">
        <is>
          <t>Multiple concurrent sessions per user with IP/user agent; revoke all</t>
        </is>
      </c>
      <c r="M244" s="11" t="inlineStr">
        <is>
          <t>Device management UI</t>
        </is>
      </c>
      <c r="N244" s="11" t="inlineStr">
        <is>
          <t>enterprise/users.py</t>
        </is>
      </c>
      <c r="O244" s="11" t="inlineStr">
        <is>
          <t>ENT-05</t>
        </is>
      </c>
      <c r="P244" s="11" t="inlineStr">
        <is>
          <t>2026-09-25</t>
        </is>
      </c>
      <c r="Q244" s="14" t="inlineStr"/>
      <c r="R244" s="14" t="inlineStr"/>
    </row>
    <row r="245">
      <c r="A245" s="11" t="n">
        <v>244</v>
      </c>
      <c r="B245" s="11" t="n">
        <v>9</v>
      </c>
      <c r="C245" s="11" t="inlineStr">
        <is>
          <t>Enterprise SaaS (final objective)</t>
        </is>
      </c>
      <c r="D245" s="11" t="inlineStr">
        <is>
          <t>ENT-19</t>
        </is>
      </c>
      <c r="E245" s="11" t="inlineStr">
        <is>
          <t>Channels</t>
        </is>
      </c>
      <c r="F245" s="11" t="inlineStr">
        <is>
          <t>Watchlists</t>
        </is>
      </c>
      <c r="G245" s="12" t="inlineStr">
        <is>
          <t>COMPLETED</t>
        </is>
      </c>
      <c r="H245" s="13" t="n">
        <v>0.75</v>
      </c>
      <c r="I245" s="11" t="inlineStr"/>
      <c r="J245" s="11" t="inlineStr">
        <is>
          <t>Live (ATIP-W24-RC1)</t>
        </is>
      </c>
      <c r="K245" s="11" t="inlineStr"/>
      <c r="L245" s="11" t="inlineStr">
        <is>
          <t>Per-user / shared watchlists</t>
        </is>
      </c>
      <c r="M245" s="11" t="inlineStr">
        <is>
          <t>Validate</t>
        </is>
      </c>
      <c r="N245" s="11" t="inlineStr">
        <is>
          <t>enterprise/workspace.py</t>
        </is>
      </c>
      <c r="O245" s="11" t="inlineStr">
        <is>
          <t>ENT-08</t>
        </is>
      </c>
      <c r="P245" s="11" t="inlineStr">
        <is>
          <t>2026-09-25</t>
        </is>
      </c>
      <c r="Q245" s="14" t="inlineStr"/>
      <c r="R245" s="14" t="inlineStr"/>
    </row>
    <row r="246">
      <c r="A246" s="11" t="n">
        <v>245</v>
      </c>
      <c r="B246" s="11" t="n">
        <v>9</v>
      </c>
      <c r="C246" s="11" t="inlineStr">
        <is>
          <t>Enterprise SaaS (final objective)</t>
        </is>
      </c>
      <c r="D246" s="11" t="inlineStr">
        <is>
          <t>ENT-11</t>
        </is>
      </c>
      <c r="E246" s="11" t="inlineStr">
        <is>
          <t>Channels</t>
        </is>
      </c>
      <c r="F246" s="11" t="inlineStr">
        <is>
          <t>Per-user price &amp; AI alerts</t>
        </is>
      </c>
      <c r="G246" s="15" t="inlineStr">
        <is>
          <t>IN PROGRESS</t>
        </is>
      </c>
      <c r="H246" s="13" t="n">
        <v>0.55</v>
      </c>
      <c r="I246" s="11" t="inlineStr"/>
      <c r="J246" s="11" t="inlineStr">
        <is>
          <t>—</t>
        </is>
      </c>
      <c r="K246" s="11" t="inlineStr">
        <is>
          <t>Development</t>
        </is>
      </c>
      <c r="L246" s="11" t="inlineStr">
        <is>
          <t>Per-user alert rules on any W3/W6 feature, evaluated post-market into notifications; AI alerts via ml_* features</t>
        </is>
      </c>
      <c r="M246" s="11" t="inlineStr">
        <is>
          <t>Intraday evaluation</t>
        </is>
      </c>
      <c r="N246" s="11" t="inlineStr">
        <is>
          <t>enterprise/workspace.py</t>
        </is>
      </c>
      <c r="O246" s="11" t="inlineStr">
        <is>
          <t>ENT-19</t>
        </is>
      </c>
      <c r="P246" s="11" t="inlineStr">
        <is>
          <t>2026-09-25</t>
        </is>
      </c>
      <c r="Q246" s="14" t="inlineStr"/>
      <c r="R246" s="14" t="inlineStr"/>
    </row>
    <row r="247">
      <c r="A247" s="11" t="n">
        <v>246</v>
      </c>
      <c r="B247" s="11" t="n">
        <v>9</v>
      </c>
      <c r="C247" s="11" t="inlineStr">
        <is>
          <t>Enterprise SaaS (final objective)</t>
        </is>
      </c>
      <c r="D247" s="11" t="inlineStr">
        <is>
          <t>ENT-10</t>
        </is>
      </c>
      <c r="E247" s="11" t="inlineStr">
        <is>
          <t>Channels</t>
        </is>
      </c>
      <c r="F247" s="11" t="inlineStr">
        <is>
          <t>Notification channels</t>
        </is>
      </c>
      <c r="G247" s="15" t="inlineStr">
        <is>
          <t>IN PROGRESS</t>
        </is>
      </c>
      <c r="H247" s="13" t="n">
        <v>0.45</v>
      </c>
      <c r="I247" s="11" t="inlineStr"/>
      <c r="J247" s="11" t="inlineStr">
        <is>
          <t>—</t>
        </is>
      </c>
      <c r="K247" s="11" t="inlineStr">
        <is>
          <t>Development</t>
        </is>
      </c>
      <c r="L247" s="11" t="inlineStr">
        <is>
          <t>In-app inbox + preferences; Telegram (owner bot, default tenant only); no e-mail/SMS/push</t>
        </is>
      </c>
      <c r="M247" s="11" t="inlineStr">
        <is>
          <t>E-mail / push channels</t>
        </is>
      </c>
      <c r="N247" s="11" t="inlineStr">
        <is>
          <t>enterprise/notifications.py</t>
        </is>
      </c>
      <c r="O247" s="11" t="inlineStr">
        <is>
          <t>ENT-11</t>
        </is>
      </c>
      <c r="P247" s="11" t="inlineStr">
        <is>
          <t>2026-09-25</t>
        </is>
      </c>
      <c r="Q247" s="14" t="inlineStr"/>
      <c r="R247" s="14" t="inlineStr"/>
    </row>
    <row r="248">
      <c r="A248" s="11" t="n">
        <v>247</v>
      </c>
      <c r="B248" s="11" t="n">
        <v>9</v>
      </c>
      <c r="C248" s="11" t="inlineStr">
        <is>
          <t>Enterprise SaaS (final objective)</t>
        </is>
      </c>
      <c r="D248" s="11" t="inlineStr">
        <is>
          <t>ENT-09</t>
        </is>
      </c>
      <c r="E248" s="11" t="inlineStr">
        <is>
          <t>Channels</t>
        </is>
      </c>
      <c r="F248" s="11" t="inlineStr">
        <is>
          <t>Mobile apps</t>
        </is>
      </c>
      <c r="G248" s="17" t="inlineStr">
        <is>
          <t>YET TO START</t>
        </is>
      </c>
      <c r="H248" s="13" t="n">
        <v>0</v>
      </c>
      <c r="I248" s="11" t="inlineStr"/>
      <c r="J248" s="11" t="inlineStr">
        <is>
          <t>—</t>
        </is>
      </c>
      <c r="K248" s="11" t="inlineStr">
        <is>
          <t>Owner: Mobile apps</t>
        </is>
      </c>
      <c r="L248" s="11" t="inlineStr">
        <is>
          <t>None</t>
        </is>
      </c>
      <c r="M248" s="11" t="inlineStr">
        <is>
          <t>Build apps</t>
        </is>
      </c>
      <c r="N248" s="11" t="inlineStr">
        <is>
          <t>—</t>
        </is>
      </c>
      <c r="O248" s="11" t="inlineStr">
        <is>
          <t>API-03</t>
        </is>
      </c>
      <c r="P248" s="11" t="inlineStr">
        <is>
          <t>2026-09-24</t>
        </is>
      </c>
      <c r="Q248" s="14" t="inlineStr"/>
      <c r="R248" s="14" t="inlineStr"/>
    </row>
    <row r="249">
      <c r="A249" s="11" t="n">
        <v>248</v>
      </c>
      <c r="B249" s="11" t="n">
        <v>9</v>
      </c>
      <c r="C249" s="11" t="inlineStr">
        <is>
          <t>Enterprise SaaS (final objective)</t>
        </is>
      </c>
      <c r="D249" s="11" t="inlineStr">
        <is>
          <t>API-03</t>
        </is>
      </c>
      <c r="E249" s="11" t="inlineStr">
        <is>
          <t>APIs</t>
        </is>
      </c>
      <c r="F249" s="11" t="inlineStr">
        <is>
          <t>Versioned public API</t>
        </is>
      </c>
      <c r="G249" s="15" t="inlineStr">
        <is>
          <t>IN PROGRESS</t>
        </is>
      </c>
      <c r="H249" s="13" t="n">
        <v>0.55</v>
      </c>
      <c r="I249" s="11" t="inlineStr"/>
      <c r="J249" s="11" t="inlineStr">
        <is>
          <t>—</t>
        </is>
      </c>
      <c r="K249" s="11" t="inlineStr">
        <is>
          <t>Development</t>
        </is>
      </c>
      <c r="L249" s="11" t="inlineStr">
        <is>
          <t>API keys with scopes; W8 /api/v1/* alias of the current API (API-Version header), pagination/sort/filter on v1 lists, standard error envelope, request ids</t>
        </is>
      </c>
      <c r="M249" s="11" t="inlineStr">
        <is>
          <t>Per-route v1 contract (OpenAPI) and deprecation policy</t>
        </is>
      </c>
      <c r="N249" s="11" t="inlineStr">
        <is>
          <t>ops/http.py; ops/errors.py</t>
        </is>
      </c>
      <c r="O249" s="11" t="inlineStr">
        <is>
          <t>SEC-02</t>
        </is>
      </c>
      <c r="P249" s="11" t="inlineStr">
        <is>
          <t>2026-09-25</t>
        </is>
      </c>
      <c r="Q249" s="14" t="inlineStr"/>
      <c r="R249" s="14" t="inlineStr"/>
    </row>
    <row r="250">
      <c r="A250" s="11" t="n">
        <v>249</v>
      </c>
      <c r="B250" s="11" t="n">
        <v>9</v>
      </c>
      <c r="C250" s="11" t="inlineStr">
        <is>
          <t>Enterprise SaaS (final objective)</t>
        </is>
      </c>
      <c r="D250" s="11" t="inlineStr">
        <is>
          <t>API-04</t>
        </is>
      </c>
      <c r="E250" s="11" t="inlineStr">
        <is>
          <t>APIs</t>
        </is>
      </c>
      <c r="F250" s="11" t="inlineStr">
        <is>
          <t>Webhooks</t>
        </is>
      </c>
      <c r="G250" s="15" t="inlineStr">
        <is>
          <t>IN PROGRESS</t>
        </is>
      </c>
      <c r="H250" s="13" t="n">
        <v>0.6</v>
      </c>
      <c r="I250" s="11" t="inlineStr"/>
      <c r="J250" s="11" t="inlineStr">
        <is>
          <t>—</t>
        </is>
      </c>
      <c r="K250" s="11" t="inlineStr">
        <is>
          <t>Development</t>
        </is>
      </c>
      <c r="L250" s="11" t="inlineStr">
        <is>
          <t>Inbound POST /api/webhooks/{source}: HMAC-SHA256 signature, 300 s replay window, event-id dedupe; outbound signed delivery with backoff retry, DEAD letter, per-host circuit breaker</t>
        </is>
      </c>
      <c r="M250" s="11" t="inlineStr">
        <is>
          <t>Business consumers (billing / broker postbacks); endpoint admin UI</t>
        </is>
      </c>
      <c r="N250" s="11" t="inlineStr">
        <is>
          <t>ops/webhooks.py; dashboard/ops_routes.py</t>
        </is>
      </c>
      <c r="O250" s="11" t="inlineStr">
        <is>
          <t>API-03</t>
        </is>
      </c>
      <c r="P250" s="11" t="inlineStr">
        <is>
          <t>2026-09-25</t>
        </is>
      </c>
      <c r="Q250" s="14" t="inlineStr"/>
      <c r="R250" s="14" t="inlineStr"/>
    </row>
    <row r="251">
      <c r="A251" s="11" t="n">
        <v>250</v>
      </c>
      <c r="B251" s="11" t="n">
        <v>9</v>
      </c>
      <c r="C251" s="11" t="inlineStr">
        <is>
          <t>Enterprise SaaS (final objective)</t>
        </is>
      </c>
      <c r="D251" s="11" t="inlineStr">
        <is>
          <t>PF-12</t>
        </is>
      </c>
      <c r="E251" s="11" t="inlineStr">
        <is>
          <t>Portfolio</t>
        </is>
      </c>
      <c r="F251" s="11" t="inlineStr">
        <is>
          <t>Multi-broker import</t>
        </is>
      </c>
      <c r="G251" s="17" t="inlineStr">
        <is>
          <t>YET TO START</t>
        </is>
      </c>
      <c r="H251" s="13" t="n">
        <v>0</v>
      </c>
      <c r="I251" s="11" t="inlineStr"/>
      <c r="J251" s="11" t="inlineStr">
        <is>
          <t>—</t>
        </is>
      </c>
      <c r="K251" s="11" t="inlineStr">
        <is>
          <t>Development</t>
        </is>
      </c>
      <c r="L251" s="11" t="inlineStr">
        <is>
          <t>None</t>
        </is>
      </c>
      <c r="M251" s="11" t="inlineStr">
        <is>
          <t>Importers</t>
        </is>
      </c>
      <c r="N251" s="11" t="inlineStr">
        <is>
          <t>—</t>
        </is>
      </c>
      <c r="O251" s="11" t="inlineStr">
        <is>
          <t>ENT-06</t>
        </is>
      </c>
      <c r="P251" s="11" t="inlineStr">
        <is>
          <t>2026-09-24</t>
        </is>
      </c>
      <c r="Q251" s="14" t="inlineStr"/>
      <c r="R251" s="14" t="inlineStr"/>
    </row>
    <row r="252">
      <c r="A252" s="11" t="n">
        <v>251</v>
      </c>
      <c r="B252" s="11" t="n">
        <v>9</v>
      </c>
      <c r="C252" s="11" t="inlineStr">
        <is>
          <t>Enterprise SaaS (final objective)</t>
        </is>
      </c>
      <c r="D252" s="11" t="inlineStr">
        <is>
          <t>BR-07</t>
        </is>
      </c>
      <c r="E252" s="11" t="inlineStr">
        <is>
          <t>Broker Integration</t>
        </is>
      </c>
      <c r="F252" s="11" t="inlineStr">
        <is>
          <t>Additional brokers</t>
        </is>
      </c>
      <c r="G252" s="17" t="inlineStr">
        <is>
          <t>YET TO START</t>
        </is>
      </c>
      <c r="H252" s="13" t="n">
        <v>0</v>
      </c>
      <c r="I252" s="11" t="inlineStr"/>
      <c r="J252" s="11" t="inlineStr">
        <is>
          <t>—</t>
        </is>
      </c>
      <c r="K252" s="11" t="inlineStr">
        <is>
          <t>Development</t>
        </is>
      </c>
      <c r="L252" s="11" t="inlineStr">
        <is>
          <t>None</t>
        </is>
      </c>
      <c r="M252" s="11" t="inlineStr">
        <is>
          <t>Adapters behind BR-03 interface</t>
        </is>
      </c>
      <c r="N252" s="11" t="inlineStr">
        <is>
          <t>—</t>
        </is>
      </c>
      <c r="O252" s="11" t="inlineStr">
        <is>
          <t>ENT-06; BR-03</t>
        </is>
      </c>
      <c r="P252" s="11" t="inlineStr">
        <is>
          <t>2026-09-24</t>
        </is>
      </c>
      <c r="Q252" s="14" t="inlineStr"/>
      <c r="R252" s="14" t="inlineStr"/>
    </row>
    <row r="253">
      <c r="A253" s="11" t="n">
        <v>252</v>
      </c>
      <c r="B253" s="11" t="n">
        <v>9</v>
      </c>
      <c r="C253" s="11" t="inlineStr">
        <is>
          <t>Enterprise SaaS (final objective)</t>
        </is>
      </c>
      <c r="D253" s="11" t="inlineStr">
        <is>
          <t>ENT-15</t>
        </is>
      </c>
      <c r="E253" s="11" t="inlineStr">
        <is>
          <t>Execution</t>
        </is>
      </c>
      <c r="F253" s="11" t="inlineStr">
        <is>
          <t>Multi-asset trading</t>
        </is>
      </c>
      <c r="G253" s="17" t="inlineStr">
        <is>
          <t>YET TO START</t>
        </is>
      </c>
      <c r="H253" s="13" t="n">
        <v>0</v>
      </c>
      <c r="I253" s="11" t="inlineStr"/>
      <c r="J253" s="11" t="inlineStr">
        <is>
          <t>—</t>
        </is>
      </c>
      <c r="K253" s="11" t="inlineStr">
        <is>
          <t>Development</t>
        </is>
      </c>
      <c r="L253" s="11" t="inlineStr">
        <is>
          <t>Equity cash only</t>
        </is>
      </c>
      <c r="M253" s="11" t="inlineStr">
        <is>
          <t>Asset-specific execution/risk adapters</t>
        </is>
      </c>
      <c r="N253" s="11" t="inlineStr">
        <is>
          <t>—</t>
        </is>
      </c>
      <c r="O253" s="11" t="inlineStr">
        <is>
          <t>DP-21; BR-07</t>
        </is>
      </c>
      <c r="P253" s="11" t="inlineStr">
        <is>
          <t>2026-09-24</t>
        </is>
      </c>
      <c r="Q253" s="14" t="inlineStr"/>
      <c r="R253" s="14" t="inlineStr"/>
    </row>
    <row r="254">
      <c r="A254" s="11" t="n">
        <v>253</v>
      </c>
      <c r="B254" s="11" t="n">
        <v>9</v>
      </c>
      <c r="C254" s="11" t="inlineStr">
        <is>
          <t>Enterprise SaaS (final objective)</t>
        </is>
      </c>
      <c r="D254" s="11" t="inlineStr">
        <is>
          <t>ENT-12</t>
        </is>
      </c>
      <c r="E254" s="11" t="inlineStr">
        <is>
          <t>Reporting</t>
        </is>
      </c>
      <c r="F254" s="11" t="inlineStr">
        <is>
          <t>Reports</t>
        </is>
      </c>
      <c r="G254" s="15" t="inlineStr">
        <is>
          <t>IN PROGRESS</t>
        </is>
      </c>
      <c r="H254" s="13" t="n">
        <v>0.3</v>
      </c>
      <c r="I254" s="11" t="inlineStr"/>
      <c r="J254" s="11" t="inlineStr">
        <is>
          <t>—</t>
        </is>
      </c>
      <c r="K254" s="11" t="inlineStr">
        <is>
          <t>Development</t>
        </is>
      </c>
      <c r="L254" s="11" t="inlineStr">
        <is>
          <t>Saved report definitions (tenant-owned); rendering reuses existing pages/APIs</t>
        </is>
      </c>
      <c r="M254" s="11" t="inlineStr">
        <is>
          <t>Report rendering / export</t>
        </is>
      </c>
      <c r="N254" s="11" t="inlineStr">
        <is>
          <t>enterprise/workspace.py</t>
        </is>
      </c>
      <c r="O254" s="11" t="inlineStr">
        <is>
          <t>PF-13</t>
        </is>
      </c>
      <c r="P254" s="11" t="inlineStr">
        <is>
          <t>2026-09-25</t>
        </is>
      </c>
      <c r="Q254" s="14" t="inlineStr"/>
      <c r="R254" s="14" t="inlineStr"/>
    </row>
    <row r="255">
      <c r="A255" s="11" t="n">
        <v>254</v>
      </c>
      <c r="B255" s="11" t="n">
        <v>9</v>
      </c>
      <c r="C255" s="11" t="inlineStr">
        <is>
          <t>Enterprise SaaS (final objective)</t>
        </is>
      </c>
      <c r="D255" s="11" t="inlineStr">
        <is>
          <t>ENT-13</t>
        </is>
      </c>
      <c r="E255" s="11" t="inlineStr">
        <is>
          <t>Administration</t>
        </is>
      </c>
      <c r="F255" s="11" t="inlineStr">
        <is>
          <t>Administration console</t>
        </is>
      </c>
      <c r="G255" s="15" t="inlineStr">
        <is>
          <t>IN PROGRESS</t>
        </is>
      </c>
      <c r="H255" s="13" t="n">
        <v>0.6</v>
      </c>
      <c r="I255" s="11" t="inlineStr"/>
      <c r="J255" s="11" t="inlineStr">
        <is>
          <t>—</t>
        </is>
      </c>
      <c r="K255" s="11" t="inlineStr">
        <is>
          <t>Development</t>
        </is>
      </c>
      <c r="L255" s="11" t="inlineStr">
        <is>
          <t>/admin: users, tenants, roles, plans, audit; admin API</t>
        </is>
      </c>
      <c r="M255" s="11" t="inlineStr">
        <is>
          <t>Richer console</t>
        </is>
      </c>
      <c r="N255" s="11" t="inlineStr">
        <is>
          <t>dashboard/enterprise_page.py; dashboard/enterprise_routes.py</t>
        </is>
      </c>
      <c r="O255" s="11" t="inlineStr">
        <is>
          <t>SEC-02</t>
        </is>
      </c>
      <c r="P255" s="11" t="inlineStr">
        <is>
          <t>2026-09-25</t>
        </is>
      </c>
      <c r="Q255" s="14" t="inlineStr"/>
      <c r="R255" s="14" t="inlineStr"/>
    </row>
    <row r="256">
      <c r="A256" s="11" t="n">
        <v>255</v>
      </c>
      <c r="B256" s="11" t="n">
        <v>9</v>
      </c>
      <c r="C256" s="11" t="inlineStr">
        <is>
          <t>Enterprise SaaS (final objective)</t>
        </is>
      </c>
      <c r="D256" s="11" t="inlineStr">
        <is>
          <t>SE-10</t>
        </is>
      </c>
      <c r="E256" s="11" t="inlineStr">
        <is>
          <t>Strategy Engine</t>
        </is>
      </c>
      <c r="F256" s="11" t="inlineStr">
        <is>
          <t>No/low-code strategy builder</t>
        </is>
      </c>
      <c r="G256" s="17" t="inlineStr">
        <is>
          <t>YET TO START</t>
        </is>
      </c>
      <c r="H256" s="13" t="n">
        <v>0</v>
      </c>
      <c r="I256" s="11" t="inlineStr"/>
      <c r="J256" s="11" t="inlineStr">
        <is>
          <t>—</t>
        </is>
      </c>
      <c r="K256" s="11" t="inlineStr">
        <is>
          <t>Development</t>
        </is>
      </c>
      <c r="L256" s="11" t="inlineStr">
        <is>
          <t>None</t>
        </is>
      </c>
      <c r="M256" s="11" t="inlineStr">
        <is>
          <t>Visual builder on SE-01 interface</t>
        </is>
      </c>
      <c r="N256" s="11" t="inlineStr">
        <is>
          <t>—</t>
        </is>
      </c>
      <c r="O256" s="11" t="inlineStr">
        <is>
          <t>SE-01; ENT-08</t>
        </is>
      </c>
      <c r="P256" s="11" t="inlineStr">
        <is>
          <t>2026-09-24</t>
        </is>
      </c>
      <c r="Q256" s="14" t="inlineStr"/>
      <c r="R256" s="14" t="inlineStr"/>
    </row>
    <row r="257">
      <c r="A257" s="11" t="n">
        <v>256</v>
      </c>
      <c r="B257" s="11" t="n">
        <v>9</v>
      </c>
      <c r="C257" s="11" t="inlineStr">
        <is>
          <t>Enterprise SaaS (final objective)</t>
        </is>
      </c>
      <c r="D257" s="11" t="inlineStr">
        <is>
          <t>ML-16</t>
        </is>
      </c>
      <c r="E257" s="11" t="inlineStr">
        <is>
          <t>AI/ML</t>
        </is>
      </c>
      <c r="F257" s="11" t="inlineStr">
        <is>
          <t>AI chat assistant</t>
        </is>
      </c>
      <c r="G257" s="17" t="inlineStr">
        <is>
          <t>YET TO START</t>
        </is>
      </c>
      <c r="H257" s="13" t="n">
        <v>0</v>
      </c>
      <c r="I257" s="11" t="inlineStr"/>
      <c r="J257" s="11" t="inlineStr">
        <is>
          <t>—</t>
        </is>
      </c>
      <c r="K257" s="11" t="inlineStr">
        <is>
          <t>Development</t>
        </is>
      </c>
      <c r="L257" s="11" t="inlineStr">
        <is>
          <t>None</t>
        </is>
      </c>
      <c r="M257" s="11" t="inlineStr">
        <is>
          <t>Implement</t>
        </is>
      </c>
      <c r="N257" s="11" t="inlineStr">
        <is>
          <t>—</t>
        </is>
      </c>
      <c r="O257" s="11" t="inlineStr">
        <is>
          <t>ENT-08</t>
        </is>
      </c>
      <c r="P257" s="11" t="inlineStr">
        <is>
          <t>2026-09-24</t>
        </is>
      </c>
      <c r="Q257" s="14" t="inlineStr"/>
      <c r="R257" s="14" t="inlineStr"/>
    </row>
    <row r="258">
      <c r="A258" s="11" t="n">
        <v>257</v>
      </c>
      <c r="B258" s="11" t="n">
        <v>9</v>
      </c>
      <c r="C258" s="11" t="inlineStr">
        <is>
          <t>Enterprise SaaS (final objective)</t>
        </is>
      </c>
      <c r="D258" s="11" t="inlineStr">
        <is>
          <t>OPS-04</t>
        </is>
      </c>
      <c r="E258" s="11" t="inlineStr">
        <is>
          <t>Deployment/Ops</t>
        </is>
      </c>
      <c r="F258" s="11" t="inlineStr">
        <is>
          <t>Cloud deployment</t>
        </is>
      </c>
      <c r="G258" s="17" t="inlineStr">
        <is>
          <t>YET TO START</t>
        </is>
      </c>
      <c r="H258" s="13" t="n">
        <v>0</v>
      </c>
      <c r="I258" s="11" t="inlineStr"/>
      <c r="J258" s="11" t="inlineStr">
        <is>
          <t>—</t>
        </is>
      </c>
      <c r="K258" s="11" t="inlineStr">
        <is>
          <t>Owner: Cloud deployment</t>
        </is>
      </c>
      <c r="L258" s="11" t="inlineStr">
        <is>
          <t>Local Windows only</t>
        </is>
      </c>
      <c r="M258" s="11" t="inlineStr">
        <is>
          <t>Containerise; IaC; environments</t>
        </is>
      </c>
      <c r="N258" s="11" t="inlineStr">
        <is>
          <t>—</t>
        </is>
      </c>
      <c r="O258" s="11" t="inlineStr">
        <is>
          <t>DBS-05; ENT-07</t>
        </is>
      </c>
      <c r="P258" s="11" t="inlineStr">
        <is>
          <t>2026-09-24</t>
        </is>
      </c>
      <c r="Q258" s="14" t="inlineStr"/>
      <c r="R258" s="14" t="inlineStr"/>
    </row>
    <row r="259">
      <c r="A259" s="11" t="n">
        <v>258</v>
      </c>
      <c r="B259" s="11" t="n">
        <v>9</v>
      </c>
      <c r="C259" s="11" t="inlineStr">
        <is>
          <t>Enterprise SaaS (final objective)</t>
        </is>
      </c>
      <c r="D259" s="11" t="inlineStr">
        <is>
          <t>ENT-16</t>
        </is>
      </c>
      <c r="E259" s="11" t="inlineStr">
        <is>
          <t>Deployment/Ops</t>
        </is>
      </c>
      <c r="F259" s="11" t="inlineStr">
        <is>
          <t>Scalability, HA &amp; observability</t>
        </is>
      </c>
      <c r="G259" s="15" t="inlineStr">
        <is>
          <t>IN PROGRESS</t>
        </is>
      </c>
      <c r="H259" s="13" t="n">
        <v>0.35</v>
      </c>
      <c r="I259" s="11" t="inlineStr"/>
      <c r="J259" s="11" t="inlineStr">
        <is>
          <t>—</t>
        </is>
      </c>
      <c r="K259" s="11" t="inlineStr">
        <is>
          <t>Development</t>
        </is>
      </c>
      <c r="L259" s="11" t="inlineStr">
        <is>
          <t>Observability: JSON logs with request/correlation ids and secret masking, Prometheus-format metrics, health endpoints, monitoring rules; scalability path documented</t>
        </is>
      </c>
      <c r="M259" s="11" t="inlineStr">
        <is>
          <t>HA / horizontal scale (needs DBS-05 Postgres)</t>
        </is>
      </c>
      <c r="N259" s="11" t="inlineStr">
        <is>
          <t>ops/logs.py; ops/metrics.py; ops/health.py; docs/OBSERVABILITY.md</t>
        </is>
      </c>
      <c r="O259" s="11" t="inlineStr">
        <is>
          <t>OPS-04</t>
        </is>
      </c>
      <c r="P259" s="11" t="inlineStr">
        <is>
          <t>2026-09-25</t>
        </is>
      </c>
      <c r="Q259" s="14" t="inlineStr"/>
      <c r="R259" s="14" t="inlineStr"/>
    </row>
    <row r="260">
      <c r="A260" s="11" t="n">
        <v>259</v>
      </c>
      <c r="B260" s="11" t="n">
        <v>8</v>
      </c>
      <c r="C260" s="11" t="inlineStr">
        <is>
          <t>Production hardening</t>
        </is>
      </c>
      <c r="D260" s="11" t="inlineStr">
        <is>
          <t>SEC-06</t>
        </is>
      </c>
      <c r="E260" s="11" t="inlineStr">
        <is>
          <t>Security</t>
        </is>
      </c>
      <c r="F260" s="11" t="inlineStr">
        <is>
          <t>API security hardening</t>
        </is>
      </c>
      <c r="G260" s="12" t="inlineStr">
        <is>
          <t>COMPLETED</t>
        </is>
      </c>
      <c r="H260" s="13" t="n">
        <v>0.8</v>
      </c>
      <c r="I260" s="11" t="inlineStr"/>
      <c r="J260" s="11" t="inlineStr">
        <is>
          <t>Live (ATIP-W24-RC1)</t>
        </is>
      </c>
      <c r="K260" s="11" t="inlineStr"/>
      <c r="L260" s="11" t="inlineStr">
        <is>
          <t>OpsMiddleware: 2 MB limit (413), JSON content-type/parse checks (415/400), optional token-bucket rate limit (429), nosniff/DENY/no-referrer/COOP/Permissions-Policy, no-store on auth/account/admin, HSTS only with TLS, CORS only when origins configured</t>
        </is>
      </c>
      <c r="M260" s="11" t="inlineStr">
        <is>
          <t>Enable rate limiting in production config</t>
        </is>
      </c>
      <c r="N260" s="11" t="inlineStr">
        <is>
          <t>ops/http.py</t>
        </is>
      </c>
      <c r="O260" s="11" t="inlineStr"/>
      <c r="P260" s="11" t="inlineStr">
        <is>
          <t>2026-09-25</t>
        </is>
      </c>
      <c r="Q260" s="14" t="inlineStr"/>
      <c r="R260" s="14" t="inlineStr"/>
    </row>
    <row r="261">
      <c r="A261" s="11" t="n">
        <v>260</v>
      </c>
      <c r="B261" s="11" t="n">
        <v>8</v>
      </c>
      <c r="C261" s="11" t="inlineStr">
        <is>
          <t>Production hardening</t>
        </is>
      </c>
      <c r="D261" s="11" t="inlineStr">
        <is>
          <t>OPS-08</t>
        </is>
      </c>
      <c r="E261" s="11" t="inlineStr">
        <is>
          <t>Deployment/Ops</t>
        </is>
      </c>
      <c r="F261" s="11" t="inlineStr">
        <is>
          <t>Configuration management</t>
        </is>
      </c>
      <c r="G261" s="12" t="inlineStr">
        <is>
          <t>COMPLETED</t>
        </is>
      </c>
      <c r="H261" s="13" t="n">
        <v>0.8</v>
      </c>
      <c r="I261" s="11" t="inlineStr"/>
      <c r="J261" s="11" t="inlineStr">
        <is>
          <t>Live (ATIP-W24-RC1)</t>
        </is>
      </c>
      <c r="K261" s="11" t="inlineStr"/>
      <c r="L261" s="11" t="inlineStr">
        <is>
          <t>ATIP_ENV / environment (development/test/staging/production), config.&lt;env&gt;.json overlay, ATIP__SECTION__KEY overrides, validation (production refuses to start on errors), fingerprint + ops_config_version + audit of changed keys, feature flags</t>
        </is>
      </c>
      <c r="M261" s="11" t="inlineStr">
        <is>
          <t>Validate</t>
        </is>
      </c>
      <c r="N261" s="11" t="inlineStr">
        <is>
          <t>ops/config.py; ops/startup.py</t>
        </is>
      </c>
      <c r="O261" s="11" t="inlineStr"/>
      <c r="P261" s="11" t="inlineStr">
        <is>
          <t>2026-09-25</t>
        </is>
      </c>
      <c r="Q261" s="14" t="inlineStr"/>
      <c r="R261" s="14" t="inlineStr"/>
    </row>
    <row r="262">
      <c r="A262" s="11" t="n">
        <v>261</v>
      </c>
      <c r="B262" s="11" t="n">
        <v>8</v>
      </c>
      <c r="C262" s="11" t="inlineStr">
        <is>
          <t>Production hardening</t>
        </is>
      </c>
      <c r="D262" s="11" t="inlineStr">
        <is>
          <t>OPS-09</t>
        </is>
      </c>
      <c r="E262" s="11" t="inlineStr">
        <is>
          <t>Deployment/Ops</t>
        </is>
      </c>
      <c r="F262" s="11" t="inlineStr">
        <is>
          <t>Scheduler hardening</t>
        </is>
      </c>
      <c r="G262" s="12" t="inlineStr">
        <is>
          <t>COMPLETED</t>
        </is>
      </c>
      <c r="H262" s="13" t="n">
        <v>0.8</v>
      </c>
      <c r="I262" s="11" t="inlineStr"/>
      <c r="J262" s="11" t="inlineStr">
        <is>
          <t>Live (ATIP-W24-RC1)</t>
        </is>
      </c>
      <c r="K262" s="11" t="inlineStr"/>
      <c r="L262" s="11" t="inlineStr">
        <is>
          <t>ops_job_lock per job name (stale-owner takeover), scheduler heartbeat every 60 s, SKIPPED run when another runner holds the job, job metrics</t>
        </is>
      </c>
      <c r="M262" s="11" t="inlineStr">
        <is>
          <t>Validate</t>
        </is>
      </c>
      <c r="N262" s="11" t="inlineStr">
        <is>
          <t>ops/jobs.py; pipeline/scheduler.py</t>
        </is>
      </c>
      <c r="O262" s="11" t="inlineStr"/>
      <c r="P262" s="11" t="inlineStr">
        <is>
          <t>2026-09-25</t>
        </is>
      </c>
      <c r="Q262" s="14" t="inlineStr"/>
      <c r="R262" s="14" t="inlineStr"/>
    </row>
    <row r="263">
      <c r="A263" s="11" t="n">
        <v>262</v>
      </c>
      <c r="B263" s="11" t="n">
        <v>8</v>
      </c>
      <c r="C263" s="11" t="inlineStr">
        <is>
          <t>Production hardening</t>
        </is>
      </c>
      <c r="D263" s="11" t="inlineStr">
        <is>
          <t>OPS-10</t>
        </is>
      </c>
      <c r="E263" s="11" t="inlineStr">
        <is>
          <t>Deployment/Ops</t>
        </is>
      </c>
      <c r="F263" s="11" t="inlineStr">
        <is>
          <t>Resilience + idempotency</t>
        </is>
      </c>
      <c r="G263" s="15" t="inlineStr">
        <is>
          <t>IN PROGRESS</t>
        </is>
      </c>
      <c r="H263" s="13" t="n">
        <v>0.6</v>
      </c>
      <c r="I263" s="11" t="inlineStr"/>
      <c r="J263" s="11" t="inlineStr">
        <is>
          <t>—</t>
        </is>
      </c>
      <c r="K263" s="11" t="inlineStr">
        <is>
          <t>Development</t>
        </is>
      </c>
      <c r="L263" s="11" t="inlineStr">
        <is>
          <t>ops/resilience.py primitives (orders marked non-idempotent: never retried); Idempotency-Key on mutating API (orders from /trading keyed per decision/order)</t>
        </is>
      </c>
      <c r="M263" s="11" t="inlineStr">
        <is>
          <t>Wrap existing data-source calls with breakers/retry</t>
        </is>
      </c>
      <c r="N263" s="11" t="inlineStr">
        <is>
          <t>ops/resilience.py; ops/idempotency.py</t>
        </is>
      </c>
      <c r="O263" s="11" t="inlineStr"/>
      <c r="P263" s="11" t="inlineStr">
        <is>
          <t>2026-09-25</t>
        </is>
      </c>
      <c r="Q263" s="14" t="inlineStr"/>
      <c r="R263" s="14" t="inlineStr"/>
    </row>
    <row r="264">
      <c r="A264" s="11" t="n">
        <v>263</v>
      </c>
      <c r="B264" s="11" t="n">
        <v>8</v>
      </c>
      <c r="C264" s="11" t="inlineStr">
        <is>
          <t>Production hardening</t>
        </is>
      </c>
      <c r="D264" s="11" t="inlineStr">
        <is>
          <t>MON-09</t>
        </is>
      </c>
      <c r="E264" s="11" t="inlineStr">
        <is>
          <t>Monitoring</t>
        </is>
      </c>
      <c r="F264" s="11" t="inlineStr">
        <is>
          <t>Operational alerting</t>
        </is>
      </c>
      <c r="G264" s="12" t="inlineStr">
        <is>
          <t>COMPLETED</t>
        </is>
      </c>
      <c r="H264" s="13" t="n">
        <v>0.75</v>
      </c>
      <c r="I264" s="11" t="inlineStr"/>
      <c r="J264" s="11" t="inlineStr">
        <is>
          <t>Live (ATIP-W24-RC1)</t>
        </is>
      </c>
      <c r="K264" s="11" t="inlineStr"/>
      <c r="L264" s="11" t="inlineStr">
        <is>
          <t>ops_monitor every 15 min, 12 rules, FIRING/RESOLVED state with 6 h re-notify, delivered via the W1 alert channel (alert_log + Telegram when configured)</t>
        </is>
      </c>
      <c r="M264" s="11" t="inlineStr">
        <is>
          <t>Tune thresholds after observation</t>
        </is>
      </c>
      <c r="N264" s="11" t="inlineStr">
        <is>
          <t>ops/monitor.py</t>
        </is>
      </c>
      <c r="O264" s="11" t="inlineStr"/>
      <c r="P264" s="11" t="inlineStr">
        <is>
          <t>2026-09-25</t>
        </is>
      </c>
      <c r="Q264" s="14" t="inlineStr"/>
      <c r="R264" s="14" t="inlineStr"/>
    </row>
    <row r="265">
      <c r="A265" s="11" t="n">
        <v>264</v>
      </c>
      <c r="B265" s="11" t="n">
        <v>8</v>
      </c>
      <c r="C265" s="11" t="inlineStr">
        <is>
          <t>Production hardening</t>
        </is>
      </c>
      <c r="D265" s="11" t="inlineStr">
        <is>
          <t>RK-19</t>
        </is>
      </c>
      <c r="E265" s="11" t="inlineStr">
        <is>
          <t>Risk</t>
        </is>
      </c>
      <c r="F265" s="11" t="inlineStr">
        <is>
          <t>Stale-data trade protection</t>
        </is>
      </c>
      <c r="G265" s="12" t="inlineStr">
        <is>
          <t>COMPLETED</t>
        </is>
      </c>
      <c r="H265" s="13" t="n">
        <v>0.8</v>
      </c>
      <c r="I265" s="11" t="inlineStr"/>
      <c r="J265" s="11" t="inlineStr">
        <is>
          <t>Live (ATIP-W24-RC1)</t>
        </is>
      </c>
      <c r="K265" s="11" t="inlineStr"/>
      <c r="L265" s="11" t="inlineStr">
        <is>
          <t>Risk check market_data_fresh (BUY rejected when last bar &gt; 2 sessions behind); LIVE orders validated against the NSE session; live gate additionally requires environment production</t>
        </is>
      </c>
      <c r="M265" s="11" t="inlineStr">
        <is>
          <t>Validate</t>
        </is>
      </c>
      <c r="N265" s="11" t="inlineStr">
        <is>
          <t>execution/risk_engine.py; execution/order_manager.py; execution/config.py</t>
        </is>
      </c>
      <c r="O265" s="11" t="inlineStr"/>
      <c r="P265" s="11" t="inlineStr">
        <is>
          <t>2026-09-25</t>
        </is>
      </c>
      <c r="Q265" s="14" t="inlineStr"/>
      <c r="R265" s="14" t="inlineStr"/>
    </row>
    <row r="266">
      <c r="A266" s="11" t="n">
        <v>265</v>
      </c>
      <c r="B266" s="11" t="n">
        <v>8</v>
      </c>
      <c r="C266" s="11" t="inlineStr">
        <is>
          <t>Production hardening</t>
        </is>
      </c>
      <c r="D266" s="11" t="inlineStr">
        <is>
          <t>OPS-11</t>
        </is>
      </c>
      <c r="E266" s="11" t="inlineStr">
        <is>
          <t>Deployment/Ops</t>
        </is>
      </c>
      <c r="F266" s="11" t="inlineStr">
        <is>
          <t>Release management &amp; deployment</t>
        </is>
      </c>
      <c r="G266" s="15" t="inlineStr">
        <is>
          <t>IN PROGRESS</t>
        </is>
      </c>
      <c r="H266" s="13" t="n">
        <v>0.8</v>
      </c>
      <c r="I266" s="11" t="inlineStr"/>
      <c r="J266" s="11" t="inlineStr">
        <is>
          <t>—</t>
        </is>
      </c>
      <c r="K266" s="11" t="inlineStr">
        <is>
          <t>Development</t>
        </is>
      </c>
      <c r="L266" s="11" t="inlineStr">
        <is>
          <t>Tag ATIP-W9-RC2; ops/release.py preflight/manifest/postcheck/record; deploy/deploy_release.ps1 + rollback_release.ps1 (dry-run default); requirements.lock.txt; release docs</t>
        </is>
      </c>
      <c r="M266" s="11" t="inlineStr">
        <is>
          <t>Authorized deployment + first executed rollback drill</t>
        </is>
      </c>
      <c r="N266" s="11" t="inlineStr">
        <is>
          <t>ops/release.py; deploy/; docs/PRODUCTION_DEPLOYMENT.md</t>
        </is>
      </c>
      <c r="O266" s="11" t="inlineStr"/>
      <c r="P266" s="11" t="inlineStr">
        <is>
          <t>2026-09-26</t>
        </is>
      </c>
      <c r="Q266" s="14" t="inlineStr"/>
      <c r="R266" s="14" t="inlineStr"/>
    </row>
    <row r="267">
      <c r="A267" s="11" t="n">
        <v>266</v>
      </c>
      <c r="B267" s="11" t="n">
        <v>8</v>
      </c>
      <c r="C267" s="11" t="inlineStr">
        <is>
          <t>Production hardening</t>
        </is>
      </c>
      <c r="D267" s="11" t="inlineStr">
        <is>
          <t>RK-20</t>
        </is>
      </c>
      <c r="E267" s="11" t="inlineStr">
        <is>
          <t>Risk</t>
        </is>
      </c>
      <c r="F267" s="11" t="inlineStr">
        <is>
          <t>Unified live-trading master switch</t>
        </is>
      </c>
      <c r="G267" s="12" t="inlineStr">
        <is>
          <t>COMPLETED</t>
        </is>
      </c>
      <c r="H267" s="13" t="n">
        <v>0.9</v>
      </c>
      <c r="I267" s="11" t="inlineStr"/>
      <c r="J267" s="11" t="inlineStr">
        <is>
          <t>Live (ATIP-W24-RC1)</t>
        </is>
      </c>
      <c r="K267" s="11" t="inlineStr"/>
      <c r="L267" s="11" t="inlineStr">
        <is>
          <t>W1 real orders (order rules, aggressive strategy) also require execution.live_trading_enabled + environment production (BLOCKED_LIVE_DISABLED otherwise); W4 gate + Dhan adapter refusal unchanged</t>
        </is>
      </c>
      <c r="M267" s="11" t="inlineStr">
        <is>
          <t>Validate</t>
        </is>
      </c>
      <c r="N267" s="11" t="inlineStr">
        <is>
          <t>orders/broker.py; ops/trading_safety.py</t>
        </is>
      </c>
      <c r="O267" s="11" t="inlineStr"/>
      <c r="P267" s="11" t="inlineStr">
        <is>
          <t>2026-09-26</t>
        </is>
      </c>
      <c r="Q267" s="14" t="inlineStr"/>
      <c r="R267" s="14" t="inlineStr"/>
    </row>
    <row r="268">
      <c r="A268" s="11" t="n">
        <v>267</v>
      </c>
      <c r="B268" s="11" t="n">
        <v>10</v>
      </c>
      <c r="C268" s="11" t="inlineStr">
        <is>
          <t>Wealth track (Waves 11-20)</t>
        </is>
      </c>
      <c r="D268" s="11" t="inlineStr">
        <is>
          <t>INV-001</t>
        </is>
      </c>
      <c r="E268" s="11" t="inlineStr">
        <is>
          <t>Wealth</t>
        </is>
      </c>
      <c r="F268" s="11" t="inlineStr">
        <is>
          <t>Investor DNA</t>
        </is>
      </c>
      <c r="G268" s="16" t="inlineStr">
        <is>
          <t>IMPLEMENTED BUT NOT VERIFIED</t>
        </is>
      </c>
      <c r="H268" s="13" t="n">
        <v>0.8</v>
      </c>
      <c r="I268" s="11" t="inlineStr">
        <is>
          <t>W11</t>
        </is>
      </c>
      <c r="J268" s="11" t="inlineStr">
        <is>
          <t>Live (ATIP-W24-RC1)</t>
        </is>
      </c>
      <c r="K268" s="11" t="inlineStr">
        <is>
          <t>Independent QA</t>
        </is>
      </c>
      <c r="L268" s="11" t="inlineStr">
        <is>
          <t>W11: Risk capacity / tolerance / requirement, horizon, behaviour, personality</t>
        </is>
      </c>
      <c r="M268" s="11" t="inlineStr">
        <is>
          <t>Independent testing (ChatGPT) + UAT; merge after authorization</t>
        </is>
      </c>
      <c r="N268" s="11" t="inlineStr">
        <is>
          <t>wealth/dna.py</t>
        </is>
      </c>
      <c r="O268" s="11" t="inlineStr"/>
      <c r="P268" s="11" t="inlineStr">
        <is>
          <t>2026-09-26</t>
        </is>
      </c>
      <c r="Q268" s="14" t="inlineStr"/>
      <c r="R268" s="14" t="inlineStr"/>
    </row>
    <row r="269">
      <c r="A269" s="11" t="n">
        <v>268</v>
      </c>
      <c r="B269" s="11" t="n">
        <v>10</v>
      </c>
      <c r="C269" s="11" t="inlineStr">
        <is>
          <t>Wealth track (Waves 11-20)</t>
        </is>
      </c>
      <c r="D269" s="11" t="inlineStr">
        <is>
          <t>WLT-001</t>
        </is>
      </c>
      <c r="E269" s="11" t="inlineStr">
        <is>
          <t>Wealth</t>
        </is>
      </c>
      <c r="F269" s="11" t="inlineStr">
        <is>
          <t>Multi-asset wealth dashboard</t>
        </is>
      </c>
      <c r="G269" s="16" t="inlineStr">
        <is>
          <t>IMPLEMENTED BUT NOT VERIFIED</t>
        </is>
      </c>
      <c r="H269" s="13" t="n">
        <v>0.8</v>
      </c>
      <c r="I269" s="11" t="inlineStr">
        <is>
          <t>W12</t>
        </is>
      </c>
      <c r="J269" s="11" t="inlineStr">
        <is>
          <t>Live (ATIP-W24-RC1)</t>
        </is>
      </c>
      <c r="K269" s="11" t="inlineStr">
        <is>
          <t>Independent QA</t>
        </is>
      </c>
      <c r="L269" s="11" t="inlineStr">
        <is>
          <t>W12: Unified holdings, net worth, allocation, concentration, overlay</t>
        </is>
      </c>
      <c r="M269" s="11" t="inlineStr">
        <is>
          <t>Independent testing (ChatGPT) + UAT; merge after authorization</t>
        </is>
      </c>
      <c r="N269" s="11" t="inlineStr">
        <is>
          <t>wealth/holdings.py; wealth/assets.py</t>
        </is>
      </c>
      <c r="O269" s="11" t="inlineStr">
        <is>
          <t>INV-001</t>
        </is>
      </c>
      <c r="P269" s="11" t="inlineStr">
        <is>
          <t>2026-09-26</t>
        </is>
      </c>
      <c r="Q269" s="14" t="inlineStr"/>
      <c r="R269" s="14" t="inlineStr"/>
    </row>
    <row r="270">
      <c r="A270" s="11" t="n">
        <v>269</v>
      </c>
      <c r="B270" s="11" t="n">
        <v>10</v>
      </c>
      <c r="C270" s="11" t="inlineStr">
        <is>
          <t>Wealth track (Waves 11-20)</t>
        </is>
      </c>
      <c r="D270" s="11" t="inlineStr">
        <is>
          <t>GOL-001</t>
        </is>
      </c>
      <c r="E270" s="11" t="inlineStr">
        <is>
          <t>Wealth</t>
        </is>
      </c>
      <c r="F270" s="11" t="inlineStr">
        <is>
          <t>Goal planning engine</t>
        </is>
      </c>
      <c r="G270" s="16" t="inlineStr">
        <is>
          <t>IMPLEMENTED BUT NOT VERIFIED</t>
        </is>
      </c>
      <c r="H270" s="13" t="n">
        <v>0.8</v>
      </c>
      <c r="I270" s="11" t="inlineStr">
        <is>
          <t>W13</t>
        </is>
      </c>
      <c r="J270" s="11" t="inlineStr">
        <is>
          <t>Live (ATIP-W24-RC1)</t>
        </is>
      </c>
      <c r="K270" s="11" t="inlineStr">
        <is>
          <t>Independent QA</t>
        </is>
      </c>
      <c r="L270" s="11" t="inlineStr">
        <is>
          <t>W13: Corpus, contributions, CAGR, shortfall, Monte Carlo, scenarios</t>
        </is>
      </c>
      <c r="M270" s="11" t="inlineStr">
        <is>
          <t>Independent testing (ChatGPT) + UAT; merge after authorization</t>
        </is>
      </c>
      <c r="N270" s="11" t="inlineStr">
        <is>
          <t>wealth/goals.py</t>
        </is>
      </c>
      <c r="O270" s="11" t="inlineStr">
        <is>
          <t>INV-001; WLT-001</t>
        </is>
      </c>
      <c r="P270" s="11" t="inlineStr">
        <is>
          <t>2026-09-26</t>
        </is>
      </c>
      <c r="Q270" s="14" t="inlineStr"/>
      <c r="R270" s="14" t="inlineStr"/>
    </row>
    <row r="271">
      <c r="A271" s="11" t="n">
        <v>270</v>
      </c>
      <c r="B271" s="11" t="n">
        <v>10</v>
      </c>
      <c r="C271" s="11" t="inlineStr">
        <is>
          <t>Wealth track (Waves 11-20)</t>
        </is>
      </c>
      <c r="D271" s="11" t="inlineStr">
        <is>
          <t>AAL-001</t>
        </is>
      </c>
      <c r="E271" s="11" t="inlineStr">
        <is>
          <t>Wealth</t>
        </is>
      </c>
      <c r="F271" s="11" t="inlineStr">
        <is>
          <t>Dynamic asset allocation</t>
        </is>
      </c>
      <c r="G271" s="16" t="inlineStr">
        <is>
          <t>IMPLEMENTED BUT NOT VERIFIED</t>
        </is>
      </c>
      <c r="H271" s="13" t="n">
        <v>0.8</v>
      </c>
      <c r="I271" s="11" t="inlineStr">
        <is>
          <t>W14</t>
        </is>
      </c>
      <c r="J271" s="11" t="inlineStr">
        <is>
          <t>Live (ATIP-W24-RC1)</t>
        </is>
      </c>
      <c r="K271" s="11" t="inlineStr">
        <is>
          <t>Independent QA</t>
        </is>
      </c>
      <c r="L271" s="11" t="inlineStr">
        <is>
          <t>W14: Strategic + tactical from DNA, goals, regime, ATIP signals</t>
        </is>
      </c>
      <c r="M271" s="11" t="inlineStr">
        <is>
          <t>Independent testing (ChatGPT) + UAT; merge after authorization</t>
        </is>
      </c>
      <c r="N271" s="11" t="inlineStr">
        <is>
          <t>wealth/allocation.py</t>
        </is>
      </c>
      <c r="O271" s="11" t="inlineStr">
        <is>
          <t>INV-001; GOL-001</t>
        </is>
      </c>
      <c r="P271" s="11" t="inlineStr">
        <is>
          <t>2026-09-26</t>
        </is>
      </c>
      <c r="Q271" s="14" t="inlineStr"/>
      <c r="R271" s="14" t="inlineStr"/>
    </row>
    <row r="272">
      <c r="A272" s="11" t="n">
        <v>271</v>
      </c>
      <c r="B272" s="11" t="n">
        <v>10</v>
      </c>
      <c r="C272" s="11" t="inlineStr">
        <is>
          <t>Wealth track (Waves 11-20)</t>
        </is>
      </c>
      <c r="D272" s="11" t="inlineStr">
        <is>
          <t>RBL-001</t>
        </is>
      </c>
      <c r="E272" s="11" t="inlineStr">
        <is>
          <t>Wealth</t>
        </is>
      </c>
      <c r="F272" s="11" t="inlineStr">
        <is>
          <t>Portfolio rebalancing</t>
        </is>
      </c>
      <c r="G272" s="16" t="inlineStr">
        <is>
          <t>IMPLEMENTED BUT NOT VERIFIED</t>
        </is>
      </c>
      <c r="H272" s="13" t="n">
        <v>0.8</v>
      </c>
      <c r="I272" s="11" t="inlineStr">
        <is>
          <t>W15</t>
        </is>
      </c>
      <c r="J272" s="11" t="inlineStr">
        <is>
          <t>Live (ATIP-W24-RC1)</t>
        </is>
      </c>
      <c r="K272" s="11" t="inlineStr">
        <is>
          <t>Independent QA</t>
        </is>
      </c>
      <c r="L272" s="11" t="inlineStr">
        <is>
          <t>W15: Drift, triggers, cost-aware plans (tax-neutral)</t>
        </is>
      </c>
      <c r="M272" s="11" t="inlineStr">
        <is>
          <t>Independent testing (ChatGPT) + UAT; merge after authorization</t>
        </is>
      </c>
      <c r="N272" s="11" t="inlineStr">
        <is>
          <t>wealth/rebalance.py</t>
        </is>
      </c>
      <c r="O272" s="11" t="inlineStr">
        <is>
          <t>WLT-001; AAL-001</t>
        </is>
      </c>
      <c r="P272" s="11" t="inlineStr">
        <is>
          <t>2026-09-26</t>
        </is>
      </c>
      <c r="Q272" s="14" t="inlineStr"/>
      <c r="R272" s="14" t="inlineStr"/>
    </row>
    <row r="273">
      <c r="A273" s="11" t="n">
        <v>272</v>
      </c>
      <c r="B273" s="11" t="n">
        <v>10</v>
      </c>
      <c r="C273" s="11" t="inlineStr">
        <is>
          <t>Wealth track (Waves 11-20)</t>
        </is>
      </c>
      <c r="D273" s="11" t="inlineStr">
        <is>
          <t>PERF-001</t>
        </is>
      </c>
      <c r="E273" s="11" t="inlineStr">
        <is>
          <t>Wealth</t>
        </is>
      </c>
      <c r="F273" s="11" t="inlineStr">
        <is>
          <t>Investor performance attribution</t>
        </is>
      </c>
      <c r="G273" s="16" t="inlineStr">
        <is>
          <t>IMPLEMENTED BUT NOT VERIFIED</t>
        </is>
      </c>
      <c r="H273" s="13" t="n">
        <v>0.8</v>
      </c>
      <c r="I273" s="11" t="inlineStr">
        <is>
          <t>W15.5</t>
        </is>
      </c>
      <c r="J273" s="11" t="inlineStr">
        <is>
          <t>Live (ATIP-W24-RC1)</t>
        </is>
      </c>
      <c r="K273" s="11" t="inlineStr">
        <is>
          <t>Independent QA</t>
        </is>
      </c>
      <c r="L273" s="11" t="inlineStr">
        <is>
          <t>W15.5: Model / executable / actual / benchmark; attribution; audit; export</t>
        </is>
      </c>
      <c r="M273" s="11" t="inlineStr">
        <is>
          <t>Independent testing (ChatGPT) + UAT; merge after authorization</t>
        </is>
      </c>
      <c r="N273" s="11" t="inlineStr">
        <is>
          <t>wealth/perf/</t>
        </is>
      </c>
      <c r="O273" s="11" t="inlineStr">
        <is>
          <t>RBL-001</t>
        </is>
      </c>
      <c r="P273" s="11" t="inlineStr">
        <is>
          <t>2026-09-26</t>
        </is>
      </c>
      <c r="Q273" s="14" t="inlineStr"/>
      <c r="R273" s="14" t="inlineStr"/>
    </row>
    <row r="274">
      <c r="A274" s="11" t="n">
        <v>273</v>
      </c>
      <c r="B274" s="11" t="n">
        <v>10</v>
      </c>
      <c r="C274" s="11" t="inlineStr">
        <is>
          <t>Wealth track (Waves 11-20)</t>
        </is>
      </c>
      <c r="D274" s="11" t="inlineStr">
        <is>
          <t>AIA-001</t>
        </is>
      </c>
      <c r="E274" s="11" t="inlineStr">
        <is>
          <t>Wealth</t>
        </is>
      </c>
      <c r="F274" s="11" t="inlineStr">
        <is>
          <t>AI investment advisor</t>
        </is>
      </c>
      <c r="G274" s="16" t="inlineStr">
        <is>
          <t>IMPLEMENTED BUT NOT VERIFIED</t>
        </is>
      </c>
      <c r="H274" s="13" t="n">
        <v>0.8</v>
      </c>
      <c r="I274" s="11" t="inlineStr">
        <is>
          <t>W16</t>
        </is>
      </c>
      <c r="J274" s="11" t="inlineStr">
        <is>
          <t>Live (ATIP-W24-RC1)</t>
        </is>
      </c>
      <c r="K274" s="11" t="inlineStr">
        <is>
          <t>Independent QA</t>
        </is>
      </c>
      <c r="L274" s="11" t="inlineStr">
        <is>
          <t>W16: Evidence-backed, suitability-checked; optional Claude narration</t>
        </is>
      </c>
      <c r="M274" s="11" t="inlineStr">
        <is>
          <t>Independent testing (ChatGPT) + UAT; merge after authorization</t>
        </is>
      </c>
      <c r="N274" s="11" t="inlineStr">
        <is>
          <t>wealth/advisor.py</t>
        </is>
      </c>
      <c r="O274" s="11" t="inlineStr">
        <is>
          <t>PERF-001</t>
        </is>
      </c>
      <c r="P274" s="11" t="inlineStr">
        <is>
          <t>2026-09-26</t>
        </is>
      </c>
      <c r="Q274" s="14" t="inlineStr"/>
      <c r="R274" s="14" t="inlineStr"/>
    </row>
    <row r="275">
      <c r="A275" s="11" t="n">
        <v>274</v>
      </c>
      <c r="B275" s="11" t="n">
        <v>10</v>
      </c>
      <c r="C275" s="11" t="inlineStr">
        <is>
          <t>Wealth track (Waves 11-20)</t>
        </is>
      </c>
      <c r="D275" s="11" t="inlineStr">
        <is>
          <t>INT-001</t>
        </is>
      </c>
      <c r="E275" s="11" t="inlineStr">
        <is>
          <t>Wealth</t>
        </is>
      </c>
      <c r="F275" s="11" t="inlineStr">
        <is>
          <t>Integrated intelligence</t>
        </is>
      </c>
      <c r="G275" s="16" t="inlineStr">
        <is>
          <t>IMPLEMENTED BUT NOT VERIFIED</t>
        </is>
      </c>
      <c r="H275" s="13" t="n">
        <v>0.8</v>
      </c>
      <c r="I275" s="11" t="inlineStr">
        <is>
          <t>W17</t>
        </is>
      </c>
      <c r="J275" s="11" t="inlineStr">
        <is>
          <t>Live (ATIP-W24-RC1)</t>
        </is>
      </c>
      <c r="K275" s="11" t="inlineStr">
        <is>
          <t>Independent QA</t>
        </is>
      </c>
      <c r="L275" s="11" t="inlineStr">
        <is>
          <t>W17: Investor cycle, overview, modes, signal suitability</t>
        </is>
      </c>
      <c r="M275" s="11" t="inlineStr">
        <is>
          <t>Independent testing (ChatGPT) + UAT; merge after authorization</t>
        </is>
      </c>
      <c r="N275" s="11" t="inlineStr">
        <is>
          <t>wealth/integrated.py</t>
        </is>
      </c>
      <c r="O275" s="11" t="inlineStr">
        <is>
          <t>AIA-001</t>
        </is>
      </c>
      <c r="P275" s="11" t="inlineStr">
        <is>
          <t>2026-09-26</t>
        </is>
      </c>
      <c r="Q275" s="14" t="inlineStr"/>
      <c r="R275" s="14" t="inlineStr"/>
    </row>
    <row r="276">
      <c r="A276" s="11" t="n">
        <v>275</v>
      </c>
      <c r="B276" s="11" t="n">
        <v>10</v>
      </c>
      <c r="C276" s="11" t="inlineStr">
        <is>
          <t>Wealth track (Waves 11-20)</t>
        </is>
      </c>
      <c r="D276" s="11" t="inlineStr">
        <is>
          <t>QA-001</t>
        </is>
      </c>
      <c r="E276" s="11" t="inlineStr">
        <is>
          <t>Wealth</t>
        </is>
      </c>
      <c r="F276" s="11" t="inlineStr">
        <is>
          <t>Wealth QA / security / performance</t>
        </is>
      </c>
      <c r="G276" s="15" t="inlineStr">
        <is>
          <t>IN PROGRESS</t>
        </is>
      </c>
      <c r="H276" s="13" t="n">
        <v>0.6</v>
      </c>
      <c r="I276" s="11" t="inlineStr">
        <is>
          <t>W18</t>
        </is>
      </c>
      <c r="J276" s="11" t="inlineStr">
        <is>
          <t>Live (ATIP-W24-RC1)</t>
        </is>
      </c>
      <c r="K276" s="11" t="inlineStr">
        <is>
          <t>Development</t>
        </is>
      </c>
      <c r="L276" s="11" t="inlineStr">
        <is>
          <t>W18: 70-test suite, security review (S1/S2 fixed), performance</t>
        </is>
      </c>
      <c r="M276" s="11" t="inlineStr">
        <is>
          <t>Independent testing (ChatGPT) + UAT; merge after authorization</t>
        </is>
      </c>
      <c r="N276" s="11" t="inlineStr">
        <is>
          <t>tests/test_wealth_*.py</t>
        </is>
      </c>
      <c r="O276" s="11" t="inlineStr">
        <is>
          <t>INT-001</t>
        </is>
      </c>
      <c r="P276" s="11" t="inlineStr">
        <is>
          <t>2026-09-26</t>
        </is>
      </c>
      <c r="Q276" s="14" t="inlineStr"/>
      <c r="R276" s="14" t="inlineStr"/>
    </row>
    <row r="277">
      <c r="A277" s="11" t="n">
        <v>276</v>
      </c>
      <c r="B277" s="11" t="n">
        <v>10</v>
      </c>
      <c r="C277" s="11" t="inlineStr">
        <is>
          <t>Wealth track (Waves 11-20)</t>
        </is>
      </c>
      <c r="D277" s="11" t="inlineStr">
        <is>
          <t>UAT-001</t>
        </is>
      </c>
      <c r="E277" s="11" t="inlineStr">
        <is>
          <t>Wealth</t>
        </is>
      </c>
      <c r="F277" s="11" t="inlineStr">
        <is>
          <t>Beta / UAT</t>
        </is>
      </c>
      <c r="G277" s="15" t="inlineStr">
        <is>
          <t>IN PROGRESS</t>
        </is>
      </c>
      <c r="H277" s="13" t="n">
        <v>0.6</v>
      </c>
      <c r="I277" s="11" t="inlineStr">
        <is>
          <t>W19</t>
        </is>
      </c>
      <c r="J277" s="11" t="inlineStr">
        <is>
          <t>Live (ATIP-W24-RC1)</t>
        </is>
      </c>
      <c r="K277" s="11" t="inlineStr">
        <is>
          <t>Development</t>
        </is>
      </c>
      <c r="L277" s="11" t="inlineStr">
        <is>
          <t>W19: Personas, persona view, feedback, UAT plan</t>
        </is>
      </c>
      <c r="M277" s="11" t="inlineStr">
        <is>
          <t>Independent testing (ChatGPT) + UAT; merge after authorization</t>
        </is>
      </c>
      <c r="N277" s="11" t="inlineStr">
        <is>
          <t>wealth/uat.py</t>
        </is>
      </c>
      <c r="O277" s="11" t="inlineStr">
        <is>
          <t>QA-001</t>
        </is>
      </c>
      <c r="P277" s="11" t="inlineStr">
        <is>
          <t>2026-09-26</t>
        </is>
      </c>
      <c r="Q277" s="14" t="inlineStr"/>
      <c r="R277" s="14" t="inlineStr"/>
    </row>
    <row r="278">
      <c r="A278" s="11" t="n">
        <v>277</v>
      </c>
      <c r="B278" s="11" t="n">
        <v>10</v>
      </c>
      <c r="C278" s="11" t="inlineStr">
        <is>
          <t>Wealth track (Waves 11-20)</t>
        </is>
      </c>
      <c r="D278" s="11" t="inlineStr">
        <is>
          <t>REL-001</t>
        </is>
      </c>
      <c r="E278" s="11" t="inlineStr">
        <is>
          <t>Wealth</t>
        </is>
      </c>
      <c r="F278" s="11" t="inlineStr">
        <is>
          <t>Wealth production hardening</t>
        </is>
      </c>
      <c r="G278" s="16" t="inlineStr">
        <is>
          <t>IMPLEMENTED BUT NOT VERIFIED</t>
        </is>
      </c>
      <c r="H278" s="13" t="n">
        <v>0.8</v>
      </c>
      <c r="I278" s="11" t="inlineStr">
        <is>
          <t>W20</t>
        </is>
      </c>
      <c r="J278" s="11" t="inlineStr">
        <is>
          <t>Live (ATIP-W24-RC1)</t>
        </is>
      </c>
      <c r="K278" s="11" t="inlineStr">
        <is>
          <t>Independent QA</t>
        </is>
      </c>
      <c r="L278" s="11" t="inlineStr">
        <is>
          <t>W20: Migration 0005, /health/wealth, monitor, backup, docs, RC</t>
        </is>
      </c>
      <c r="M278" s="11" t="inlineStr">
        <is>
          <t>Independent testing (ChatGPT) + UAT; merge after authorization</t>
        </is>
      </c>
      <c r="N278" s="11" t="inlineStr">
        <is>
          <t>ops/migrations.py; wealth/health.py</t>
        </is>
      </c>
      <c r="O278" s="11" t="inlineStr">
        <is>
          <t>UAT-001</t>
        </is>
      </c>
      <c r="P278" s="11" t="inlineStr">
        <is>
          <t>2026-09-26</t>
        </is>
      </c>
      <c r="Q278" s="14" t="inlineStr"/>
      <c r="R278" s="14" t="inlineStr"/>
    </row>
  </sheetData>
  <autoFilter ref="A1:R278"/>
  <dataValidations count="1">
    <dataValidation sqref="Q2:Q278" showDropDown="0" showInputMessage="0" showErrorMessage="0" allowBlank="1" type="list">
      <formula1>"Not reviewed,Reviewed OK,Issue found,Retest"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6" customWidth="1" min="4" max="4"/>
    <col width="30" customWidth="1" min="5" max="5"/>
    <col width="10" customWidth="1" min="6" max="6"/>
    <col width="8" customWidth="1" min="7" max="7"/>
    <col width="55" customWidth="1" min="8" max="8"/>
    <col width="45" customWidth="1" min="9" max="9"/>
    <col width="30" customWidth="1" min="10" max="10"/>
  </cols>
  <sheetData>
    <row r="1">
      <c r="A1" s="3" t="inlineStr">
        <is>
          <t>Seq</t>
        </is>
      </c>
      <c r="B1" s="3" t="inlineStr">
        <is>
          <t>Phase Name</t>
        </is>
      </c>
      <c r="C1" s="3" t="inlineStr">
        <is>
          <t>ID</t>
        </is>
      </c>
      <c r="D1" s="3" t="inlineStr">
        <is>
          <t>Module</t>
        </is>
      </c>
      <c r="E1" s="3" t="inlineStr">
        <is>
          <t>Feature</t>
        </is>
      </c>
      <c r="F1" s="3" t="inlineStr">
        <is>
          <t>Completion %</t>
        </is>
      </c>
      <c r="G1" s="3" t="inlineStr">
        <is>
          <t>Wave</t>
        </is>
      </c>
      <c r="H1" s="3" t="inlineStr">
        <is>
          <t>Current Implementation</t>
        </is>
      </c>
      <c r="I1" s="3" t="inlineStr">
        <is>
          <t>Next Action / Missing Work</t>
        </is>
      </c>
      <c r="J1" s="3" t="inlineStr">
        <is>
          <t>Needs</t>
        </is>
      </c>
    </row>
    <row r="2">
      <c r="A2" s="11" t="n">
        <v>88</v>
      </c>
      <c r="B2" s="11" t="inlineStr">
        <is>
          <t>Foundation</t>
        </is>
      </c>
      <c r="C2" s="11" t="inlineStr">
        <is>
          <t>TA-06</t>
        </is>
      </c>
      <c r="D2" s="11" t="inlineStr">
        <is>
          <t>Technical Analysis</t>
        </is>
      </c>
      <c r="E2" s="11" t="inlineStr">
        <is>
          <t>Support/Resistance</t>
        </is>
      </c>
      <c r="F2" s="13" t="n">
        <v>0.8</v>
      </c>
      <c r="G2" s="11" t="inlineStr">
        <is>
          <t>W21</t>
        </is>
      </c>
      <c r="H2" s="11" t="inlineStr">
        <is>
          <t>W21: fractal pivots over 120 sessions, mean-anchored clusters, nearest confirmed support/resistance with touches and distance</t>
        </is>
      </c>
      <c r="I2" s="11" t="inlineStr">
        <is>
          <t>QA; optionally feed the Technical Score SR component</t>
        </is>
      </c>
      <c r="J2" s="11" t="inlineStr">
        <is>
          <t>Independent QA</t>
        </is>
      </c>
    </row>
    <row r="3">
      <c r="A3" s="11" t="n">
        <v>92</v>
      </c>
      <c r="B3" s="11" t="inlineStr">
        <is>
          <t>Quant Research (data, factors, backtesting)</t>
        </is>
      </c>
      <c r="C3" s="11" t="inlineStr">
        <is>
          <t>DP-03</t>
        </is>
      </c>
      <c r="D3" s="11" t="inlineStr">
        <is>
          <t>Data Platform</t>
        </is>
      </c>
      <c r="E3" s="11" t="inlineStr">
        <is>
          <t>Intraday bars</t>
        </is>
      </c>
      <c r="F3" s="13" t="n">
        <v>0.85</v>
      </c>
      <c r="G3" s="11" t="inlineStr">
        <is>
          <t>W21</t>
        </is>
      </c>
      <c r="H3" s="11" t="inlineStr">
        <is>
          <t>W21: intraday_bars stores the 30-min job's 15-min bars (was discarded); 90-day retention</t>
        </is>
      </c>
      <c r="I3" s="11" t="inlineStr">
        <is>
          <t>QA; consider 5-min bars for session VWAP</t>
        </is>
      </c>
      <c r="J3" s="11" t="inlineStr">
        <is>
          <t>Independent QA</t>
        </is>
      </c>
    </row>
    <row r="4">
      <c r="A4" s="11" t="n">
        <v>93</v>
      </c>
      <c r="B4" s="11" t="inlineStr">
        <is>
          <t>Quant Research (data, factors, backtesting)</t>
        </is>
      </c>
      <c r="C4" s="11" t="inlineStr">
        <is>
          <t>TA-03</t>
        </is>
      </c>
      <c r="D4" s="11" t="inlineStr">
        <is>
          <t>Technical Analysis</t>
        </is>
      </c>
      <c r="E4" s="11" t="inlineStr">
        <is>
          <t>VWAP</t>
        </is>
      </c>
      <c r="F4" s="13" t="n">
        <v>0.8</v>
      </c>
      <c r="G4" s="11" t="inlineStr">
        <is>
          <t>W21</t>
        </is>
      </c>
      <c r="H4" s="11" t="inlineStr">
        <is>
          <t>W21: vwap_20d, vwap_session (intraday bars), vwap_dev_pct in technical_ext; strategy feature vwap_dev_pct</t>
        </is>
      </c>
      <c r="I4" s="11" t="inlineStr">
        <is>
          <t>Owner: technical.vwap_in_score (changes scores); QA</t>
        </is>
      </c>
      <c r="J4" s="11" t="inlineStr">
        <is>
          <t>Independent QA; Owner: technical.vwap_in_score (changes scores)</t>
        </is>
      </c>
    </row>
    <row r="5">
      <c r="A5" s="11" t="n">
        <v>95</v>
      </c>
      <c r="B5" s="11" t="inlineStr">
        <is>
          <t>Quant Research (data, factors, backtesting)</t>
        </is>
      </c>
      <c r="C5" s="11" t="inlineStr">
        <is>
          <t>TA-04</t>
        </is>
      </c>
      <c r="D5" s="11" t="inlineStr">
        <is>
          <t>Technical Analysis</t>
        </is>
      </c>
      <c r="E5" s="11" t="inlineStr">
        <is>
          <t>Volume Profile</t>
        </is>
      </c>
      <c r="F5" s="13" t="n">
        <v>0.8</v>
      </c>
      <c r="G5" s="11" t="inlineStr">
        <is>
          <t>W21</t>
        </is>
      </c>
      <c r="H5" s="11" t="inlineStr">
        <is>
          <t>W21: volume profile POC/VAH/VAL over 20 sessions (intraday or daily basis)</t>
        </is>
      </c>
      <c r="I5" s="11" t="inlineStr">
        <is>
          <t>QA</t>
        </is>
      </c>
      <c r="J5" s="11" t="inlineStr">
        <is>
          <t>Independent QA</t>
        </is>
      </c>
    </row>
    <row r="6">
      <c r="A6" s="11" t="n">
        <v>96</v>
      </c>
      <c r="B6" s="11" t="inlineStr">
        <is>
          <t>Quant Research (data, factors, backtesting)</t>
        </is>
      </c>
      <c r="C6" s="11" t="inlineStr">
        <is>
          <t>TA-10</t>
        </is>
      </c>
      <c r="D6" s="11" t="inlineStr">
        <is>
          <t>Technical Analysis</t>
        </is>
      </c>
      <c r="E6" s="11" t="inlineStr">
        <is>
          <t>Multi-timeframe analysis</t>
        </is>
      </c>
      <c r="F6" s="13" t="n">
        <v>0.8</v>
      </c>
      <c r="G6" s="11" t="inlineStr">
        <is>
          <t>W21</t>
        </is>
      </c>
      <c r="H6" s="11" t="inlineStr">
        <is>
          <t>W21: weekly RSI/trend, monthly trend, mtf_alignment -3..+3</t>
        </is>
      </c>
      <c r="I6" s="11" t="inlineStr">
        <is>
          <t>QA</t>
        </is>
      </c>
      <c r="J6" s="11" t="inlineStr">
        <is>
          <t>Independent QA</t>
        </is>
      </c>
    </row>
    <row r="7">
      <c r="A7" s="11" t="n">
        <v>97</v>
      </c>
      <c r="B7" s="11" t="inlineStr">
        <is>
          <t>Quant Research (data, factors, backtesting)</t>
        </is>
      </c>
      <c r="C7" s="11" t="inlineStr">
        <is>
          <t>TA-12</t>
        </is>
      </c>
      <c r="D7" s="11" t="inlineStr">
        <is>
          <t>Technical Analysis</t>
        </is>
      </c>
      <c r="E7" s="11" t="inlineStr">
        <is>
          <t>Full-history indicator panel</t>
        </is>
      </c>
      <c r="F7" s="13" t="n">
        <v>0.7</v>
      </c>
      <c r="G7" s="11" t="inlineStr">
        <is>
          <t>W21</t>
        </is>
      </c>
      <c r="H7" s="11" t="inlineStr">
        <is>
          <t>W21: python -m data.technical --backfill N (tracked universe, resumable)</t>
        </is>
      </c>
      <c r="I7" s="11" t="inlineStr">
        <is>
          <t>Run the backfill (owner timing; copy first)</t>
        </is>
      </c>
      <c r="J7" s="11" t="inlineStr">
        <is>
          <t>Independent QA; Owner: When to run the indicator backfill</t>
        </is>
      </c>
    </row>
    <row r="8">
      <c r="A8" s="11" t="n">
        <v>98</v>
      </c>
      <c r="B8" s="11" t="inlineStr">
        <is>
          <t>Quant Research (data, factors, backtesting)</t>
        </is>
      </c>
      <c r="C8" s="11" t="inlineStr">
        <is>
          <t>AF-03</t>
        </is>
      </c>
      <c r="D8" s="11" t="inlineStr">
        <is>
          <t>Alpha/Factor Engine</t>
        </is>
      </c>
      <c r="E8" s="11" t="inlineStr">
        <is>
          <t>Factor panel persistence</t>
        </is>
      </c>
      <c r="F8" s="13" t="n">
        <v>0.85</v>
      </c>
      <c r="G8" s="11" t="inlineStr">
        <is>
          <t>W22</t>
        </is>
      </c>
      <c r="H8" s="11" t="inlineStr">
        <is>
          <t>W22: score_components stores every ATIP index's sub-components per symbol/date (weighted_score label capture; scores unchanged)</t>
        </is>
      </c>
      <c r="I8" s="11" t="inlineStr">
        <is>
          <t>QA</t>
        </is>
      </c>
      <c r="J8" s="11" t="inlineStr">
        <is>
          <t>Independent QA</t>
        </is>
      </c>
    </row>
    <row r="9">
      <c r="A9" s="11" t="n">
        <v>99</v>
      </c>
      <c r="B9" s="11" t="inlineStr">
        <is>
          <t>Quant Research (data, factors, backtesting)</t>
        </is>
      </c>
      <c r="C9" s="11" t="inlineStr">
        <is>
          <t>AF-04</t>
        </is>
      </c>
      <c r="D9" s="11" t="inlineStr">
        <is>
          <t>Alpha/Factor Engine</t>
        </is>
      </c>
      <c r="E9" s="11" t="inlineStr">
        <is>
          <t>Standalone factor families</t>
        </is>
      </c>
      <c r="F9" s="13" t="n">
        <v>0.8</v>
      </c>
      <c r="G9" s="11" t="inlineStr">
        <is>
          <t>W22</t>
        </is>
      </c>
      <c r="H9" s="11" t="inlineStr">
        <is>
          <t>W22: 11 standalone factors: mean reversion, trend, volume, recovery, risk (BRI)</t>
        </is>
      </c>
      <c r="I9" s="11" t="inlineStr">
        <is>
          <t>QA; research on full history</t>
        </is>
      </c>
      <c r="J9" s="11" t="inlineStr">
        <is>
          <t>Independent QA</t>
        </is>
      </c>
    </row>
    <row r="10">
      <c r="A10" s="11" t="n">
        <v>100</v>
      </c>
      <c r="B10" s="11" t="inlineStr">
        <is>
          <t>Quant Research (data, factors, backtesting)</t>
        </is>
      </c>
      <c r="C10" s="11" t="inlineStr">
        <is>
          <t>AF-02</t>
        </is>
      </c>
      <c r="D10" s="11" t="inlineStr">
        <is>
          <t>Alpha/Factor Engine</t>
        </is>
      </c>
      <c r="E10" s="11" t="inlineStr">
        <is>
          <t>Normalisation contract</t>
        </is>
      </c>
      <c r="F10" s="13" t="n">
        <v>0.85</v>
      </c>
      <c r="G10" s="11" t="inlineStr"/>
      <c r="H10" s="11" t="inlineStr">
        <is>
          <t>W6 quant/normalize.py per-factor spec (winsorize/zscore/percentile/rank/minmax/sector/neutralize) -- tracker was stale</t>
        </is>
      </c>
      <c r="I10" s="11" t="inlineStr">
        <is>
          <t>QA</t>
        </is>
      </c>
      <c r="J10" s="11" t="inlineStr">
        <is>
          <t>Independent QA</t>
        </is>
      </c>
    </row>
    <row r="11">
      <c r="A11" s="11" t="n">
        <v>101</v>
      </c>
      <c r="B11" s="11" t="inlineStr">
        <is>
          <t>Quant Research (data, factors, backtesting)</t>
        </is>
      </c>
      <c r="C11" s="11" t="inlineStr">
        <is>
          <t>AF-01</t>
        </is>
      </c>
      <c r="D11" s="11" t="inlineStr">
        <is>
          <t>Alpha/Factor Engine</t>
        </is>
      </c>
      <c r="E11" s="11" t="inlineStr">
        <is>
          <t>Factor library/registry</t>
        </is>
      </c>
      <c r="F11" s="13" t="n">
        <v>0.85</v>
      </c>
      <c r="G11" s="11" t="inlineStr"/>
      <c r="H11" s="11" t="inlineStr">
        <is>
          <t>W6 registry quant_factor + factor sets + content-hash versioning (tracker was stale); W22 adds 11 factors</t>
        </is>
      </c>
      <c r="I11" s="11" t="inlineStr">
        <is>
          <t>QA</t>
        </is>
      </c>
      <c r="J11" s="11" t="inlineStr">
        <is>
          <t>Independent QA</t>
        </is>
      </c>
    </row>
    <row r="12">
      <c r="A12" s="11" t="n">
        <v>102</v>
      </c>
      <c r="B12" s="11" t="inlineStr">
        <is>
          <t>Quant Research (data, factors, backtesting)</t>
        </is>
      </c>
      <c r="C12" s="11" t="inlineStr">
        <is>
          <t>SC-18</t>
        </is>
      </c>
      <c r="D12" s="11" t="inlineStr">
        <is>
          <t>Alpha/Factor Engine</t>
        </is>
      </c>
      <c r="E12" s="11" t="inlineStr">
        <is>
          <t>Formula registry/versioning</t>
        </is>
      </c>
      <c r="F12" s="13" t="n">
        <v>0.85</v>
      </c>
      <c r="G12" s="11" t="inlineStr">
        <is>
          <t>W22</t>
        </is>
      </c>
      <c r="H12" s="11" t="inlineStr">
        <is>
          <t>W22: formula_registry resolves each signal_log weights_hash to the full weight set + code version</t>
        </is>
      </c>
      <c r="I12" s="11" t="inlineStr">
        <is>
          <t>QA</t>
        </is>
      </c>
      <c r="J12" s="11" t="inlineStr">
        <is>
          <t>Independent QA</t>
        </is>
      </c>
    </row>
    <row r="13">
      <c r="A13" s="11" t="n">
        <v>103</v>
      </c>
      <c r="B13" s="11" t="inlineStr">
        <is>
          <t>Quant Research (data, factors, backtesting)</t>
        </is>
      </c>
      <c r="C13" s="11" t="inlineStr">
        <is>
          <t>DBS-07</t>
        </is>
      </c>
      <c r="D13" s="11" t="inlineStr">
        <is>
          <t>Database</t>
        </is>
      </c>
      <c r="E13" s="11" t="inlineStr">
        <is>
          <t>Research registry tables</t>
        </is>
      </c>
      <c r="F13" s="13" t="n">
        <v>0.8</v>
      </c>
      <c r="G13" s="11" t="inlineStr">
        <is>
          <t>W22</t>
        </is>
      </c>
      <c r="H13" s="11" t="inlineStr">
        <is>
          <t>W22: research_study + research_link registry, frozen on conclusion</t>
        </is>
      </c>
      <c r="I13" s="11" t="inlineStr">
        <is>
          <t>QA</t>
        </is>
      </c>
      <c r="J13" s="11" t="inlineStr">
        <is>
          <t>Independent QA</t>
        </is>
      </c>
    </row>
    <row r="14">
      <c r="A14" s="11" t="n">
        <v>104</v>
      </c>
      <c r="B14" s="11" t="inlineStr">
        <is>
          <t>Quant Research (data, factors, backtesting)</t>
        </is>
      </c>
      <c r="C14" s="11" t="inlineStr">
        <is>
          <t>QR-01</t>
        </is>
      </c>
      <c r="D14" s="11" t="inlineStr">
        <is>
          <t>Quant Research</t>
        </is>
      </c>
      <c r="E14" s="11" t="inlineStr">
        <is>
          <t>Information coefficient</t>
        </is>
      </c>
      <c r="F14" s="13" t="n">
        <v>0.8</v>
      </c>
      <c r="G14" s="11" t="inlineStr">
        <is>
          <t>W22</t>
        </is>
      </c>
      <c r="H14" s="11" t="inlineStr">
        <is>
          <t>W22: backfill_scores + research_report run IC for every factor</t>
        </is>
      </c>
      <c r="I14" s="11" t="inlineStr">
        <is>
          <t>Run full-history backfill + report</t>
        </is>
      </c>
      <c r="J14" s="11" t="inlineStr">
        <is>
          <t>Independent QA</t>
        </is>
      </c>
    </row>
    <row r="15">
      <c r="A15" s="11" t="n">
        <v>105</v>
      </c>
      <c r="B15" s="11" t="inlineStr">
        <is>
          <t>Quant Research (data, factors, backtesting)</t>
        </is>
      </c>
      <c r="C15" s="11" t="inlineStr">
        <is>
          <t>QR-02</t>
        </is>
      </c>
      <c r="D15" s="11" t="inlineStr">
        <is>
          <t>Quant Research</t>
        </is>
      </c>
      <c r="E15" s="11" t="inlineStr">
        <is>
          <t>IC decay / half-life</t>
        </is>
      </c>
      <c r="F15" s="13" t="n">
        <v>0.8</v>
      </c>
      <c r="G15" s="11" t="inlineStr">
        <is>
          <t>W22</t>
        </is>
      </c>
      <c r="H15" s="11" t="inlineStr">
        <is>
          <t>W22: IC decay 1/5/10/20 for every factor in research_report</t>
        </is>
      </c>
      <c r="I15" s="11" t="inlineStr">
        <is>
          <t>Run on full history</t>
        </is>
      </c>
      <c r="J15" s="11" t="inlineStr">
        <is>
          <t>Independent QA</t>
        </is>
      </c>
    </row>
    <row r="16">
      <c r="A16" s="11" t="n">
        <v>106</v>
      </c>
      <c r="B16" s="11" t="inlineStr">
        <is>
          <t>Quant Research (data, factors, backtesting)</t>
        </is>
      </c>
      <c r="C16" s="11" t="inlineStr">
        <is>
          <t>QR-03</t>
        </is>
      </c>
      <c r="D16" s="11" t="inlineStr">
        <is>
          <t>Quant Research</t>
        </is>
      </c>
      <c r="E16" s="11" t="inlineStr">
        <is>
          <t>Factor correlation/redundancy</t>
        </is>
      </c>
      <c r="F16" s="13" t="n">
        <v>0.8</v>
      </c>
      <c r="G16" s="11" t="inlineStr">
        <is>
          <t>W22</t>
        </is>
      </c>
      <c r="H16" s="11" t="inlineStr">
        <is>
          <t>W22: redundancy report (pairs |rho|&gt;=0.7) in research_report</t>
        </is>
      </c>
      <c r="I16" s="11" t="inlineStr">
        <is>
          <t>Run on full history</t>
        </is>
      </c>
      <c r="J16" s="11" t="inlineStr">
        <is>
          <t>Independent QA</t>
        </is>
      </c>
    </row>
    <row r="17">
      <c r="A17" s="11" t="n">
        <v>108</v>
      </c>
      <c r="B17" s="11" t="inlineStr">
        <is>
          <t>Quant Research (data, factors, backtesting)</t>
        </is>
      </c>
      <c r="C17" s="11" t="inlineStr">
        <is>
          <t>AF-08</t>
        </is>
      </c>
      <c r="D17" s="11" t="inlineStr">
        <is>
          <t>Alpha/Factor Engine</t>
        </is>
      </c>
      <c r="E17" s="11" t="inlineStr">
        <is>
          <t>Factor approval gate</t>
        </is>
      </c>
      <c r="F17" s="13" t="n">
        <v>0.8</v>
      </c>
      <c r="G17" s="11" t="inlineStr">
        <is>
          <t>W22</t>
        </is>
      </c>
      <c r="H17" s="11" t="inlineStr">
        <is>
          <t>W22: evidence-based approval gate, decision history, lifecycle enforcement behind quant.require_approved_factors</t>
        </is>
      </c>
      <c r="I17" s="11" t="inlineStr">
        <is>
          <t>Owner: enable after review</t>
        </is>
      </c>
      <c r="J17" s="11" t="inlineStr">
        <is>
          <t>Independent QA; Owner: quant.require_approved_factors</t>
        </is>
      </c>
    </row>
    <row r="18">
      <c r="A18" s="11" t="n">
        <v>113</v>
      </c>
      <c r="B18" s="11" t="inlineStr">
        <is>
          <t>Quant Research (data, factors, backtesting)</t>
        </is>
      </c>
      <c r="C18" s="11" t="inlineStr">
        <is>
          <t>BT-12</t>
        </is>
      </c>
      <c r="D18" s="11" t="inlineStr">
        <is>
          <t>Backtesting</t>
        </is>
      </c>
      <c r="E18" s="11" t="inlineStr">
        <is>
          <t>VaR/CVaR in backtest</t>
        </is>
      </c>
      <c r="F18" s="13" t="n">
        <v>0.85</v>
      </c>
      <c r="G18" s="11" t="inlineStr">
        <is>
          <t>W23</t>
        </is>
      </c>
      <c r="H18" s="11" t="inlineStr">
        <is>
          <t>W23: historical VaR/CVaR 95/99, parametric VaR, skew, kurtosis in every backtest's metrics</t>
        </is>
      </c>
      <c r="I18" s="11" t="inlineStr">
        <is>
          <t>QA</t>
        </is>
      </c>
      <c r="J18" s="11" t="inlineStr">
        <is>
          <t>Independent QA</t>
        </is>
      </c>
    </row>
    <row r="19">
      <c r="A19" s="11" t="n">
        <v>122</v>
      </c>
      <c r="B19" s="11" t="inlineStr">
        <is>
          <t>Quant Research (data, factors, backtesting)</t>
        </is>
      </c>
      <c r="C19" s="11" t="inlineStr">
        <is>
          <t>BT-04</t>
        </is>
      </c>
      <c r="D19" s="11" t="inlineStr">
        <is>
          <t>Backtesting</t>
        </is>
      </c>
      <c r="E19" s="11" t="inlineStr">
        <is>
          <t>Parameter optimisation</t>
        </is>
      </c>
      <c r="F19" s="13" t="n">
        <v>0.8</v>
      </c>
      <c r="G19" s="11" t="inlineStr">
        <is>
          <t>W23</t>
        </is>
      </c>
      <c r="H19" s="11" t="inlineStr">
        <is>
          <t>W23: grid / random / adaptive optimiser with trial runs, test-window refusal, Deflated Sharpe + overfit warning</t>
        </is>
      </c>
      <c r="I19" s="11" t="inlineStr">
        <is>
          <t>QA; optional true Bayesian search</t>
        </is>
      </c>
      <c r="J19" s="11" t="inlineStr">
        <is>
          <t>Independent QA</t>
        </is>
      </c>
    </row>
    <row r="20">
      <c r="A20" s="11" t="n">
        <v>123</v>
      </c>
      <c r="B20" s="11" t="inlineStr">
        <is>
          <t>Quant Research (data, factors, backtesting)</t>
        </is>
      </c>
      <c r="C20" s="11" t="inlineStr">
        <is>
          <t>QR-11</t>
        </is>
      </c>
      <c r="D20" s="11" t="inlineStr">
        <is>
          <t>Quant Research</t>
        </is>
      </c>
      <c r="E20" s="11" t="inlineStr">
        <is>
          <t>Parameter sensitivity</t>
        </is>
      </c>
      <c r="F20" s="13" t="n">
        <v>0.8</v>
      </c>
      <c r="G20" s="11" t="inlineStr">
        <is>
          <t>W23</t>
        </is>
      </c>
      <c r="H20" s="11" t="inlineStr">
        <is>
          <t>W23: one-at-a-time sensitivity curves, stability, knife-edge flags, 2-D heat map</t>
        </is>
      </c>
      <c r="I20" s="11" t="inlineStr">
        <is>
          <t>QA</t>
        </is>
      </c>
      <c r="J20" s="11" t="inlineStr">
        <is>
          <t>Independent QA</t>
        </is>
      </c>
    </row>
    <row r="21">
      <c r="A21" s="11" t="n">
        <v>124</v>
      </c>
      <c r="B21" s="11" t="inlineStr">
        <is>
          <t>Quant Research (data, factors, backtesting)</t>
        </is>
      </c>
      <c r="C21" s="11" t="inlineStr">
        <is>
          <t>BT-14</t>
        </is>
      </c>
      <c r="D21" s="11" t="inlineStr">
        <is>
          <t>Backtesting</t>
        </is>
      </c>
      <c r="E21" s="11" t="inlineStr">
        <is>
          <t>Robustness</t>
        </is>
      </c>
      <c r="F21" s="13" t="n">
        <v>0.8</v>
      </c>
      <c r="G21" s="11" t="inlineStr">
        <is>
          <t>W23</t>
        </is>
      </c>
      <c r="H21" s="11" t="inlineStr">
        <is>
          <t>W23: robustness battery (costs x2, slippage x3, universe halves, period halves, regimes, Monte Carlo) with verdict</t>
        </is>
      </c>
      <c r="I21" s="11" t="inlineStr">
        <is>
          <t>QA</t>
        </is>
      </c>
      <c r="J21" s="11" t="inlineStr">
        <is>
          <t>Independent QA</t>
        </is>
      </c>
    </row>
    <row r="22">
      <c r="A22" s="11" t="n">
        <v>125</v>
      </c>
      <c r="B22" s="11" t="inlineStr">
        <is>
          <t>Quant Research (data, factors, backtesting)</t>
        </is>
      </c>
      <c r="C22" s="11" t="inlineStr">
        <is>
          <t>QR-12</t>
        </is>
      </c>
      <c r="D22" s="11" t="inlineStr">
        <is>
          <t>Quant Research</t>
        </is>
      </c>
      <c r="E22" s="11" t="inlineStr">
        <is>
          <t>Reproducibility / experiment tracking</t>
        </is>
      </c>
      <c r="F22" s="13" t="n">
        <v>0.8</v>
      </c>
      <c r="G22" s="11" t="inlineStr"/>
      <c r="H22" s="11" t="inlineStr">
        <is>
          <t>W6 experiments + W22 studies linking experiments/backtests/research</t>
        </is>
      </c>
      <c r="I22" s="11" t="inlineStr">
        <is>
          <t>QA</t>
        </is>
      </c>
      <c r="J22" s="11" t="inlineStr">
        <is>
          <t>Independent QA</t>
        </is>
      </c>
    </row>
    <row r="23">
      <c r="A23" s="11" t="n">
        <v>126</v>
      </c>
      <c r="B23" s="11" t="inlineStr">
        <is>
          <t>Quant Research (data, factors, backtesting)</t>
        </is>
      </c>
      <c r="C23" s="11" t="inlineStr">
        <is>
          <t>QR-07</t>
        </is>
      </c>
      <c r="D23" s="11" t="inlineStr">
        <is>
          <t>Quant Research</t>
        </is>
      </c>
      <c r="E23" s="11" t="inlineStr">
        <is>
          <t>Momentum/trend research</t>
        </is>
      </c>
      <c r="F23" s="13" t="n">
        <v>0.7</v>
      </c>
      <c r="G23" s="11" t="inlineStr">
        <is>
          <t>W23</t>
        </is>
      </c>
      <c r="H23" s="11" t="inlineStr">
        <is>
          <t>W23: momentum breakout strategy + end-to-end study (optimise/validate/sensitivity/robustness/test)</t>
        </is>
      </c>
      <c r="I23" s="11" t="inlineStr">
        <is>
          <t>Run full-universe study; review</t>
        </is>
      </c>
      <c r="J23" s="11" t="inlineStr">
        <is>
          <t>Independent QA</t>
        </is>
      </c>
    </row>
    <row r="24">
      <c r="A24" s="11" t="n">
        <v>127</v>
      </c>
      <c r="B24" s="11" t="inlineStr">
        <is>
          <t>Quant Research (data, factors, backtesting)</t>
        </is>
      </c>
      <c r="C24" s="11" t="inlineStr">
        <is>
          <t>QR-08</t>
        </is>
      </c>
      <c r="D24" s="11" t="inlineStr">
        <is>
          <t>Quant Research</t>
        </is>
      </c>
      <c r="E24" s="11" t="inlineStr">
        <is>
          <t>Mean-reversion research</t>
        </is>
      </c>
      <c r="F24" s="13" t="n">
        <v>0.7</v>
      </c>
      <c r="G24" s="11" t="inlineStr">
        <is>
          <t>W23</t>
        </is>
      </c>
      <c r="H24" s="11" t="inlineStr">
        <is>
          <t>W23: RSI(2) mean-reversion strategy + study; 12-stock smoke: REJECTED out of sample</t>
        </is>
      </c>
      <c r="I24" s="11" t="inlineStr">
        <is>
          <t>Run full-universe study; review</t>
        </is>
      </c>
      <c r="J24" s="11" t="inlineStr">
        <is>
          <t>Independent QA</t>
        </is>
      </c>
    </row>
    <row r="25">
      <c r="A25" s="11" t="n">
        <v>129</v>
      </c>
      <c r="B25" s="11" t="inlineStr">
        <is>
          <t>Quant Research (data, factors, backtesting)</t>
        </is>
      </c>
      <c r="C25" s="11" t="inlineStr">
        <is>
          <t>TA-09</t>
        </is>
      </c>
      <c r="D25" s="11" t="inlineStr">
        <is>
          <t>Technical Analysis</t>
        </is>
      </c>
      <c r="E25" s="11" t="inlineStr">
        <is>
          <t>Beta 3y / rolling 60</t>
        </is>
      </c>
      <c r="F25" s="13" t="n">
        <v>0.7</v>
      </c>
      <c r="G25" s="11" t="inlineStr">
        <is>
          <t>W21</t>
        </is>
      </c>
      <c r="H25" s="11" t="inlineStr">
        <is>
          <t>W21: beta_60, beta_downside, beta_long (&gt;=500 sessions)</t>
        </is>
      </c>
      <c r="I25" s="11" t="inlineStr">
        <is>
          <t>Owner: prices_daily retention &gt;= 1,100 days for a 3-year beta</t>
        </is>
      </c>
      <c r="J25" s="11" t="inlineStr">
        <is>
          <t>Independent QA; Owner: prices_daily retention &gt;= 1,100 days</t>
        </is>
      </c>
    </row>
    <row r="26">
      <c r="A26" s="11" t="n">
        <v>130</v>
      </c>
      <c r="B26" s="11" t="inlineStr">
        <is>
          <t>Quant Research (data, factors, backtesting)</t>
        </is>
      </c>
      <c r="C26" s="11" t="inlineStr">
        <is>
          <t>SC-16</t>
        </is>
      </c>
      <c r="D26" s="11" t="inlineStr">
        <is>
          <t>Alpha/Factor Engine</t>
        </is>
      </c>
      <c r="E26" s="11" t="inlineStr">
        <is>
          <t>Beta Risk Index</t>
        </is>
      </c>
      <c r="F26" s="13" t="n">
        <v>0.75</v>
      </c>
      <c r="G26" s="11" t="inlineStr">
        <is>
          <t>W21</t>
        </is>
      </c>
      <c r="H26" s="11" t="inlineStr">
        <is>
          <t>W21: Beta Risk Index 0-100 (level, downside, instability); strategy feature bri</t>
        </is>
      </c>
      <c r="I26" s="11" t="inlineStr">
        <is>
          <t>QA; decide if it joins a composite</t>
        </is>
      </c>
      <c r="J26" s="11" t="inlineStr">
        <is>
          <t>Independent QA</t>
        </is>
      </c>
    </row>
    <row r="27">
      <c r="A27" s="11" t="n">
        <v>131</v>
      </c>
      <c r="B27" s="11" t="inlineStr">
        <is>
          <t>Quant Research (data, factors, backtesting)</t>
        </is>
      </c>
      <c r="C27" s="11" t="inlineStr">
        <is>
          <t>TA-11</t>
        </is>
      </c>
      <c r="D27" s="11" t="inlineStr">
        <is>
          <t>Technical Analysis</t>
        </is>
      </c>
      <c r="E27" s="11" t="inlineStr">
        <is>
          <t>Extended indicator catalogue</t>
        </is>
      </c>
      <c r="F27" s="13" t="n">
        <v>0.8</v>
      </c>
      <c r="G27" s="11" t="inlineStr">
        <is>
          <t>W21</t>
        </is>
      </c>
      <c r="H27" s="11" t="inlineStr">
        <is>
          <t>W21: Supertrend, Ichimoku, Keltner, Donchian, MFI, CMF, ROC, Aroon, PSAR; stoch/Williams %R/CCI now computed</t>
        </is>
      </c>
      <c r="I27" s="11" t="inlineStr">
        <is>
          <t>QA</t>
        </is>
      </c>
      <c r="J27" s="11" t="inlineStr">
        <is>
          <t>Independent QA</t>
        </is>
      </c>
    </row>
    <row r="28">
      <c r="A28" s="11" t="n">
        <v>135</v>
      </c>
      <c r="B28" s="11" t="inlineStr">
        <is>
          <t>Quant Research (data, factors, backtesting)</t>
        </is>
      </c>
      <c r="C28" s="11" t="inlineStr">
        <is>
          <t>DP-11</t>
        </is>
      </c>
      <c r="D28" s="11" t="inlineStr">
        <is>
          <t>Data Platform</t>
        </is>
      </c>
      <c r="E28" s="11" t="inlineStr">
        <is>
          <t>GIFT Nifty</t>
        </is>
      </c>
      <c r="F28" s="13" t="n">
        <v>0.75</v>
      </c>
      <c r="G28" s="11" t="inlineStr">
        <is>
          <t>W21</t>
        </is>
      </c>
      <c r="H28" s="11" t="inlineStr">
        <is>
          <t>W21: daily GIFTNIFTY close from index_levels into prices_daily</t>
        </is>
      </c>
      <c r="I28" s="11" t="inlineStr">
        <is>
          <t>Pre-open panel (DB-04)</t>
        </is>
      </c>
      <c r="J28" s="11" t="inlineStr">
        <is>
          <t>Independent QA</t>
        </is>
      </c>
    </row>
    <row r="29">
      <c r="A29" s="11" t="n">
        <v>138</v>
      </c>
      <c r="B29" s="11" t="inlineStr">
        <is>
          <t>Quant Research (data, factors, backtesting)</t>
        </is>
      </c>
      <c r="C29" s="11" t="inlineStr">
        <is>
          <t>DP-13</t>
        </is>
      </c>
      <c r="D29" s="11" t="inlineStr">
        <is>
          <t>Data Platform</t>
        </is>
      </c>
      <c r="E29" s="11" t="inlineStr">
        <is>
          <t>Sector data</t>
        </is>
      </c>
      <c r="F29" s="13" t="n">
        <v>0.8</v>
      </c>
      <c r="G29" s="11" t="inlineStr">
        <is>
          <t>W21</t>
        </is>
      </c>
      <c r="H29" s="11" t="inlineStr">
        <is>
          <t>W21: 8 sector index series in the daily Dhan sync + sector_breadth table</t>
        </is>
      </c>
      <c r="I29" s="11" t="inlineStr">
        <is>
          <t>Run --backfill-sectors; QA</t>
        </is>
      </c>
      <c r="J29" s="11" t="inlineStr">
        <is>
          <t>Independent QA</t>
        </is>
      </c>
    </row>
    <row r="30">
      <c r="A30" s="11" t="n">
        <v>157</v>
      </c>
      <c r="B30" s="11" t="inlineStr">
        <is>
          <t>AI/ML</t>
        </is>
      </c>
      <c r="C30" s="11" t="inlineStr">
        <is>
          <t>ML-07</t>
        </is>
      </c>
      <c r="D30" s="11" t="inlineStr">
        <is>
          <t>AI/ML</t>
        </is>
      </c>
      <c r="E30" s="11" t="inlineStr">
        <is>
          <t>Feature selection</t>
        </is>
      </c>
      <c r="F30" s="13" t="n">
        <v>0.8</v>
      </c>
      <c r="G30" s="11" t="inlineStr">
        <is>
          <t>W24</t>
        </is>
      </c>
      <c r="H30" s="11" t="inlineStr">
        <is>
          <t>W24: importance-stability selection -&gt; new feature-set version</t>
        </is>
      </c>
      <c r="I30" s="11" t="inlineStr">
        <is>
          <t>QA</t>
        </is>
      </c>
      <c r="J30" s="11" t="inlineStr">
        <is>
          <t>Independent QA</t>
        </is>
      </c>
    </row>
    <row r="31">
      <c r="A31" s="11" t="n">
        <v>158</v>
      </c>
      <c r="B31" s="11" t="inlineStr">
        <is>
          <t>AI/ML</t>
        </is>
      </c>
      <c r="C31" s="11" t="inlineStr">
        <is>
          <t>ML-08</t>
        </is>
      </c>
      <c r="D31" s="11" t="inlineStr">
        <is>
          <t>AI/ML</t>
        </is>
      </c>
      <c r="E31" s="11" t="inlineStr">
        <is>
          <t>Model validation</t>
        </is>
      </c>
      <c r="F31" s="13" t="n">
        <v>0.85</v>
      </c>
      <c r="G31" s="11" t="inlineStr">
        <is>
          <t>W24</t>
        </is>
      </c>
      <c r="H31" s="11" t="inlineStr">
        <is>
          <t>W24: purged expanding walk-forward reports vs baselines, IC, calibration, verdict</t>
        </is>
      </c>
      <c r="I31" s="11" t="inlineStr">
        <is>
          <t>QA</t>
        </is>
      </c>
      <c r="J31" s="11" t="inlineStr">
        <is>
          <t>Independent QA</t>
        </is>
      </c>
    </row>
    <row r="32">
      <c r="A32" s="11" t="n">
        <v>159</v>
      </c>
      <c r="B32" s="11" t="inlineStr">
        <is>
          <t>AI/ML</t>
        </is>
      </c>
      <c r="C32" s="11" t="inlineStr">
        <is>
          <t>ML-01</t>
        </is>
      </c>
      <c r="D32" s="11" t="inlineStr">
        <is>
          <t>AI/ML</t>
        </is>
      </c>
      <c r="E32" s="11" t="inlineStr">
        <is>
          <t>Supervised ML</t>
        </is>
      </c>
      <c r="F32" s="13" t="n">
        <v>0.8</v>
      </c>
      <c r="G32" s="11" t="inlineStr">
        <is>
          <t>W24</t>
        </is>
      </c>
      <c r="H32" s="11" t="inlineStr">
        <is>
          <t>W24: native numpy GBM + random forest; bootstrap trains + validates first models (TRAINED, not ACTIVE); real-data smoke: NO_EDGE on 5-day direction</t>
        </is>
      </c>
      <c r="I32" s="11" t="inlineStr">
        <is>
          <t>Richer features / labels; full-universe validation</t>
        </is>
      </c>
      <c r="J32" s="11" t="inlineStr">
        <is>
          <t>Independent QA</t>
        </is>
      </c>
    </row>
    <row r="33">
      <c r="A33" s="11" t="n">
        <v>161</v>
      </c>
      <c r="B33" s="11" t="inlineStr">
        <is>
          <t>AI/ML</t>
        </is>
      </c>
      <c r="C33" s="11" t="inlineStr">
        <is>
          <t>ML-11</t>
        </is>
      </c>
      <c r="D33" s="11" t="inlineStr">
        <is>
          <t>AI/ML</t>
        </is>
      </c>
      <c r="E33" s="11" t="inlineStr">
        <is>
          <t>Ensemble models</t>
        </is>
      </c>
      <c r="F33" s="13" t="n">
        <v>0.8</v>
      </c>
      <c r="G33" s="11" t="inlineStr">
        <is>
          <t>W24</t>
        </is>
      </c>
      <c r="H33" s="11" t="inlineStr">
        <is>
          <t>W24: ensemble model type blended by held-out loss</t>
        </is>
      </c>
      <c r="I33" s="11" t="inlineStr">
        <is>
          <t>QA</t>
        </is>
      </c>
      <c r="J33" s="11" t="inlineStr">
        <is>
          <t>Independent QA</t>
        </is>
      </c>
    </row>
    <row r="34">
      <c r="A34" s="11" t="n">
        <v>162</v>
      </c>
      <c r="B34" s="11" t="inlineStr">
        <is>
          <t>AI/ML</t>
        </is>
      </c>
      <c r="C34" s="11" t="inlineStr">
        <is>
          <t>ML-09</t>
        </is>
      </c>
      <c r="D34" s="11" t="inlineStr">
        <is>
          <t>AI/ML</t>
        </is>
      </c>
      <c r="E34" s="11" t="inlineStr">
        <is>
          <t>Model monitoring/drift</t>
        </is>
      </c>
      <c r="F34" s="13" t="n">
        <v>0.8</v>
      </c>
      <c r="G34" s="11" t="inlineStr">
        <is>
          <t>W24</t>
        </is>
      </c>
      <c r="H34" s="11" t="inlineStr">
        <is>
          <t>W24: drift (PSI share) + realised decay alerts, ml_health_check, monitor rule</t>
        </is>
      </c>
      <c r="I34" s="11" t="inlineStr">
        <is>
          <t>QA</t>
        </is>
      </c>
      <c r="J34" s="11" t="inlineStr">
        <is>
          <t>Independent QA</t>
        </is>
      </c>
    </row>
    <row r="35">
      <c r="A35" s="11" t="n">
        <v>163</v>
      </c>
      <c r="B35" s="11" t="inlineStr">
        <is>
          <t>AI/ML</t>
        </is>
      </c>
      <c r="C35" s="11" t="inlineStr">
        <is>
          <t>ML-10</t>
        </is>
      </c>
      <c r="D35" s="11" t="inlineStr">
        <is>
          <t>AI/ML</t>
        </is>
      </c>
      <c r="E35" s="11" t="inlineStr">
        <is>
          <t>Explainability</t>
        </is>
      </c>
      <c r="F35" s="13" t="n">
        <v>0.85</v>
      </c>
      <c r="G35" s="11" t="inlineStr">
        <is>
          <t>W24</t>
        </is>
      </c>
      <c r="H35" s="11" t="inlineStr">
        <is>
          <t>W24: exact path contributions for trees, gain importances, out-of-sample permutation importance</t>
        </is>
      </c>
      <c r="I35" s="11" t="inlineStr">
        <is>
          <t>QA</t>
        </is>
      </c>
      <c r="J35" s="11" t="inlineStr">
        <is>
          <t>Independent QA</t>
        </is>
      </c>
    </row>
    <row r="36">
      <c r="A36" s="11" t="n">
        <v>164</v>
      </c>
      <c r="B36" s="11" t="inlineStr">
        <is>
          <t>AI/ML</t>
        </is>
      </c>
      <c r="C36" s="11" t="inlineStr">
        <is>
          <t>ML-05</t>
        </is>
      </c>
      <c r="D36" s="11" t="inlineStr">
        <is>
          <t>AI/ML</t>
        </is>
      </c>
      <c r="E36" s="11" t="inlineStr">
        <is>
          <t>Regime detection</t>
        </is>
      </c>
      <c r="F36" s="13" t="n">
        <v>0.75</v>
      </c>
      <c r="G36" s="11" t="inlineStr">
        <is>
          <t>W24</t>
        </is>
      </c>
      <c r="H36" s="11" t="inlineStr">
        <is>
          <t>W24: market_regime model preset validated + trained (NO_EDGE on smoke)</t>
        </is>
      </c>
      <c r="I36" s="11" t="inlineStr">
        <is>
          <t>Owner decides regime provider after evidence</t>
        </is>
      </c>
      <c r="J36" s="11" t="inlineStr">
        <is>
          <t>Independent QA; Owner: Regime provider (after evidence)</t>
        </is>
      </c>
    </row>
    <row r="37">
      <c r="A37" s="11" t="n">
        <v>165</v>
      </c>
      <c r="B37" s="11" t="inlineStr">
        <is>
          <t>AI/ML</t>
        </is>
      </c>
      <c r="C37" s="11" t="inlineStr">
        <is>
          <t>ML-03</t>
        </is>
      </c>
      <c r="D37" s="11" t="inlineStr">
        <is>
          <t>AI/ML</t>
        </is>
      </c>
      <c r="E37" s="11" t="inlineStr">
        <is>
          <t>Unsupervised learning</t>
        </is>
      </c>
      <c r="F37" s="13" t="n">
        <v>0.75</v>
      </c>
      <c r="G37" s="11" t="inlineStr">
        <is>
          <t>W24</t>
        </is>
      </c>
      <c r="H37" s="11" t="inlineStr">
        <is>
          <t>W24: k-means++ factor clusters with profiles; return PCA</t>
        </is>
      </c>
      <c r="I37" s="11" t="inlineStr">
        <is>
          <t>QA</t>
        </is>
      </c>
      <c r="J37" s="11" t="inlineStr">
        <is>
          <t>Independent QA</t>
        </is>
      </c>
    </row>
    <row r="38">
      <c r="A38" s="11" t="n">
        <v>166</v>
      </c>
      <c r="B38" s="11" t="inlineStr">
        <is>
          <t>AI/ML</t>
        </is>
      </c>
      <c r="C38" s="11" t="inlineStr">
        <is>
          <t>ML-06</t>
        </is>
      </c>
      <c r="D38" s="11" t="inlineStr">
        <is>
          <t>AI/ML</t>
        </is>
      </c>
      <c r="E38" s="11" t="inlineStr">
        <is>
          <t>Anomaly detection</t>
        </is>
      </c>
      <c r="F38" s="13" t="n">
        <v>0.75</v>
      </c>
      <c r="G38" s="11" t="inlineStr">
        <is>
          <t>W24</t>
        </is>
      </c>
      <c r="H38" s="11" t="inlineStr">
        <is>
          <t>W24: robust-z + multivariate anomaly scan, CA-explained, post-market (flag off)</t>
        </is>
      </c>
      <c r="I38" s="11" t="inlineStr">
        <is>
          <t>Owner: ml.anomalies_enabled</t>
        </is>
      </c>
      <c r="J38" s="11" t="inlineStr">
        <is>
          <t>Independent QA; Owner: ml.anomalies_enabled</t>
        </is>
      </c>
    </row>
    <row r="39">
      <c r="A39" s="11" t="n">
        <v>177</v>
      </c>
      <c r="B39" s="11" t="inlineStr">
        <is>
          <t>Risk &amp; Portfolio</t>
        </is>
      </c>
      <c r="C39" s="11" t="inlineStr">
        <is>
          <t>PF-03</t>
        </is>
      </c>
      <c r="D39" s="11" t="inlineStr">
        <is>
          <t>Portfolio</t>
        </is>
      </c>
      <c r="E39" s="11" t="inlineStr">
        <is>
          <t>Exposure / sector allocation</t>
        </is>
      </c>
      <c r="F39" s="13" t="n">
        <v>0.9</v>
      </c>
      <c r="G39" s="11" t="inlineStr">
        <is>
          <t>W25</t>
        </is>
      </c>
      <c r="H39" s="11" t="inlineStr">
        <is>
          <t>W25: portfolio/risk.py book_snapshot for PAPER and LIVE books (weights, % equity, sector exposure); /api/risk/portfolio; /trading Portfolio risk panel</t>
        </is>
      </c>
      <c r="I39" s="11" t="inlineStr">
        <is>
          <t>Independent QA</t>
        </is>
      </c>
      <c r="J39" s="11" t="inlineStr">
        <is>
          <t>Independent QA</t>
        </is>
      </c>
    </row>
    <row r="40">
      <c r="A40" s="11" t="n">
        <v>178</v>
      </c>
      <c r="B40" s="11" t="inlineStr">
        <is>
          <t>Risk &amp; Portfolio</t>
        </is>
      </c>
      <c r="C40" s="11" t="inlineStr">
        <is>
          <t>PF-04</t>
        </is>
      </c>
      <c r="D40" s="11" t="inlineStr">
        <is>
          <t>Portfolio</t>
        </is>
      </c>
      <c r="E40" s="11" t="inlineStr">
        <is>
          <t>Concentration/diversification</t>
        </is>
      </c>
      <c r="F40" s="13" t="n">
        <v>0.9</v>
      </c>
      <c r="G40" s="11" t="inlineStr">
        <is>
          <t>W25</t>
        </is>
      </c>
      <c r="H40" s="11" t="inlineStr">
        <is>
          <t>W25: concentration() max/top-5 weight, HHI, effective N, sector HHI; in /api/risk/portfolio and snapshots</t>
        </is>
      </c>
      <c r="I40" s="11" t="inlineStr">
        <is>
          <t>Independent QA</t>
        </is>
      </c>
      <c r="J40" s="11" t="inlineStr">
        <is>
          <t>Independent QA</t>
        </is>
      </c>
    </row>
    <row r="41">
      <c r="A41" s="11" t="n">
        <v>179</v>
      </c>
      <c r="B41" s="11" t="inlineStr">
        <is>
          <t>Risk &amp; Portfolio</t>
        </is>
      </c>
      <c r="C41" s="11" t="inlineStr">
        <is>
          <t>PF-09</t>
        </is>
      </c>
      <c r="D41" s="11" t="inlineStr">
        <is>
          <t>Portfolio</t>
        </is>
      </c>
      <c r="E41" s="11" t="inlineStr">
        <is>
          <t>Correlation</t>
        </is>
      </c>
      <c r="F41" s="13" t="n">
        <v>0.9</v>
      </c>
      <c r="G41" s="11" t="inlineStr">
        <is>
          <t>W25</t>
        </is>
      </c>
      <c r="H41" s="11" t="inlineStr">
        <is>
          <t>W25: portfolio correlation matrix, weighted avg pairwise correlation, high pairs, diversification ratio; heatmap on /trading</t>
        </is>
      </c>
      <c r="I41" s="11" t="inlineStr">
        <is>
          <t>Independent QA</t>
        </is>
      </c>
      <c r="J41" s="11" t="inlineStr">
        <is>
          <t>Independent QA</t>
        </is>
      </c>
    </row>
    <row r="42">
      <c r="A42" s="11" t="n">
        <v>180</v>
      </c>
      <c r="B42" s="11" t="inlineStr">
        <is>
          <t>Risk &amp; Portfolio</t>
        </is>
      </c>
      <c r="C42" s="11" t="inlineStr">
        <is>
          <t>RK-11</t>
        </is>
      </c>
      <c r="D42" s="11" t="inlineStr">
        <is>
          <t>Risk Management</t>
        </is>
      </c>
      <c r="E42" s="11" t="inlineStr">
        <is>
          <t>Correlation risk</t>
        </is>
      </c>
      <c r="F42" s="13" t="n">
        <v>0.85</v>
      </c>
      <c r="G42" s="11" t="inlineStr">
        <is>
          <t>W25</t>
        </is>
      </c>
      <c r="H42" s="11" t="inlineStr">
        <is>
          <t>W25: W4 limit max_avg_correlation (value-weighted correlation of the new symbol with the held book; fail closed); analytics in /api/risk/portfolio</t>
        </is>
      </c>
      <c r="I42" s="11" t="inlineStr">
        <is>
          <t>Independent QA; owner sets the limit (default off)</t>
        </is>
      </c>
      <c r="J42" s="11" t="inlineStr">
        <is>
          <t>Independent QA</t>
        </is>
      </c>
    </row>
    <row r="43">
      <c r="A43" s="11" t="n">
        <v>181</v>
      </c>
      <c r="B43" s="11" t="inlineStr">
        <is>
          <t>Risk &amp; Portfolio</t>
        </is>
      </c>
      <c r="C43" s="11" t="inlineStr">
        <is>
          <t>RK-12</t>
        </is>
      </c>
      <c r="D43" s="11" t="inlineStr">
        <is>
          <t>Risk Management</t>
        </is>
      </c>
      <c r="E43" s="11" t="inlineStr">
        <is>
          <t>Portfolio VaR/ES</t>
        </is>
      </c>
      <c r="F43" s="13" t="n">
        <v>0.85</v>
      </c>
      <c r="G43" s="11" t="inlineStr">
        <is>
          <t>W25</t>
        </is>
      </c>
      <c r="H43" s="11" t="inlineStr">
        <is>
          <t>W25: historical / parametric / Monte Carlo VaR and ES, 95/99%, 1 and 10 days; W4 limit max_portfolio_var_pct (post-trade); snapshot job + VaR alert (off by default)</t>
        </is>
      </c>
      <c r="I43" s="11" t="inlineStr">
        <is>
          <t>Independent QA; owner sets limit / enables portfolio_risk.snapshot_enabled</t>
        </is>
      </c>
      <c r="J43" s="11" t="inlineStr">
        <is>
          <t>Independent QA</t>
        </is>
      </c>
    </row>
    <row r="44">
      <c r="A44" s="11" t="n">
        <v>183</v>
      </c>
      <c r="B44" s="11" t="inlineStr">
        <is>
          <t>Risk &amp; Portfolio</t>
        </is>
      </c>
      <c r="C44" s="11" t="inlineStr">
        <is>
          <t>RK-09</t>
        </is>
      </c>
      <c r="D44" s="11" t="inlineStr">
        <is>
          <t>Risk Management</t>
        </is>
      </c>
      <c r="E44" s="11" t="inlineStr">
        <is>
          <t>Volatility limits</t>
        </is>
      </c>
      <c r="F44" s="13" t="n">
        <v>0.85</v>
      </c>
      <c r="G44" s="11" t="inlineStr">
        <is>
          <t>W25</t>
        </is>
      </c>
      <c r="H44" s="11" t="inlineStr">
        <is>
          <t>W25: W4 limit max_symbol_volatility_pct (annualised 60-session vol; fail closed)</t>
        </is>
      </c>
      <c r="I44" s="11" t="inlineStr">
        <is>
          <t>Independent QA; owner sets the limit (default off)</t>
        </is>
      </c>
      <c r="J44" s="11" t="inlineStr">
        <is>
          <t>Independent QA</t>
        </is>
      </c>
    </row>
    <row r="45">
      <c r="A45" s="11" t="n">
        <v>184</v>
      </c>
      <c r="B45" s="11" t="inlineStr">
        <is>
          <t>Risk &amp; Portfolio</t>
        </is>
      </c>
      <c r="C45" s="11" t="inlineStr">
        <is>
          <t>RK-10</t>
        </is>
      </c>
      <c r="D45" s="11" t="inlineStr">
        <is>
          <t>Risk Management</t>
        </is>
      </c>
      <c r="E45" s="11" t="inlineStr">
        <is>
          <t>Liquidity limits</t>
        </is>
      </c>
      <c r="F45" s="13" t="n">
        <v>0.85</v>
      </c>
      <c r="G45" s="11" t="inlineStr">
        <is>
          <t>W25</t>
        </is>
      </c>
      <c r="H45" s="11" t="inlineStr">
        <is>
          <t>W25: W4 cap max_adv_participation_pct (qty &lt;= % of 20-session ADV) and W1 risk_limits.max_adv_participation_pct (BUY and SELL, unmeasurable -&gt; refused)</t>
        </is>
      </c>
      <c r="I45" s="11" t="inlineStr">
        <is>
          <t>Independent QA; owner sets the limit (default off)</t>
        </is>
      </c>
      <c r="J45" s="11" t="inlineStr">
        <is>
          <t>Independent QA</t>
        </is>
      </c>
    </row>
    <row r="46">
      <c r="A46" s="11" t="n">
        <v>187</v>
      </c>
      <c r="B46" s="11" t="inlineStr">
        <is>
          <t>Risk &amp; Portfolio</t>
        </is>
      </c>
      <c r="C46" s="11" t="inlineStr">
        <is>
          <t>RK-16</t>
        </is>
      </c>
      <c r="D46" s="11" t="inlineStr">
        <is>
          <t>Risk Management</t>
        </is>
      </c>
      <c r="E46" s="11" t="inlineStr">
        <is>
          <t>Emergency exit</t>
        </is>
      </c>
      <c r="F46" s="13" t="n">
        <v>0.85</v>
      </c>
      <c r="G46" s="11" t="inlineStr">
        <is>
          <t>W25</t>
        </is>
      </c>
      <c r="H46" s="11" t="inlineStr">
        <is>
          <t>W25: portfolio/emergency.py plan + confirm code (10 min) -&gt; kill switch ON, cancel open W4 orders, sell PAPER book; LIVE = sell list only, never an order; /api/risk/emergency-exit (risk:approve); dashboard button</t>
        </is>
      </c>
      <c r="I46" s="11" t="inlineStr">
        <is>
          <t>Independent QA</t>
        </is>
      </c>
      <c r="J46" s="11" t="inlineStr">
        <is>
          <t>Independent QA</t>
        </is>
      </c>
    </row>
    <row r="47">
      <c r="A47" s="11" t="n">
        <v>188</v>
      </c>
      <c r="B47" s="11" t="inlineStr">
        <is>
          <t>Risk &amp; Portfolio</t>
        </is>
      </c>
      <c r="C47" s="11" t="inlineStr">
        <is>
          <t>PF-10</t>
        </is>
      </c>
      <c r="D47" s="11" t="inlineStr">
        <is>
          <t>Portfolio</t>
        </is>
      </c>
      <c r="E47" s="11" t="inlineStr">
        <is>
          <t>Portfolio optimisation</t>
        </is>
      </c>
      <c r="F47" s="13" t="n">
        <v>0.85</v>
      </c>
      <c r="G47" s="11" t="inlineStr">
        <is>
          <t>W25</t>
        </is>
      </c>
      <c r="H47" s="11" t="inlineStr">
        <is>
          <t>W25: portfolio/optimize.py min_variance / mean_variance / max_sharpe / risk_parity; long-only, max/min weight, sector caps (FISTA + exact Dykstra projection); shrunk covariance; frontier; stored runs</t>
        </is>
      </c>
      <c r="I47" s="11" t="inlineStr">
        <is>
          <t>Independent QA; expected-return model review</t>
        </is>
      </c>
      <c r="J47" s="11" t="inlineStr">
        <is>
          <t>Independent QA</t>
        </is>
      </c>
    </row>
    <row r="48">
      <c r="A48" s="11" t="n">
        <v>189</v>
      </c>
      <c r="B48" s="11" t="inlineStr">
        <is>
          <t>Risk &amp; Portfolio</t>
        </is>
      </c>
      <c r="C48" s="11" t="inlineStr">
        <is>
          <t>PF-06</t>
        </is>
      </c>
      <c r="D48" s="11" t="inlineStr">
        <is>
          <t>Portfolio</t>
        </is>
      </c>
      <c r="E48" s="11" t="inlineStr">
        <is>
          <t>Rebalancing</t>
        </is>
      </c>
      <c r="F48" s="13" t="n">
        <v>0.8</v>
      </c>
      <c r="G48" s="11" t="inlineStr">
        <is>
          <t>W25</t>
        </is>
      </c>
      <c r="H48" s="11" t="inlineStr">
        <is>
          <t>W25: rebalance_plan (NEW/ADD/REDUCE/EXIT/HOLD, band, min trade, costs, turnover); portfolio strategy kind reweight_band_pct emits ADD/REDUCE with exact quantity</t>
        </is>
      </c>
      <c r="I48" s="11" t="inlineStr">
        <is>
          <t>Independent QA; backtest engine still trades whole positions</t>
        </is>
      </c>
      <c r="J48" s="11" t="inlineStr">
        <is>
          <t>Independent QA</t>
        </is>
      </c>
    </row>
    <row r="49">
      <c r="A49" s="11" t="n">
        <v>190</v>
      </c>
      <c r="B49" s="11" t="inlineStr">
        <is>
          <t>Risk &amp; Portfolio</t>
        </is>
      </c>
      <c r="C49" s="11" t="inlineStr">
        <is>
          <t>PF-07</t>
        </is>
      </c>
      <c r="D49" s="11" t="inlineStr">
        <is>
          <t>Portfolio</t>
        </is>
      </c>
      <c r="E49" s="11" t="inlineStr">
        <is>
          <t>Risk attribution</t>
        </is>
      </c>
      <c r="F49" s="13" t="n">
        <v>0.85</v>
      </c>
      <c r="G49" s="11" t="inlineStr">
        <is>
          <t>W25</t>
        </is>
      </c>
      <c r="H49" s="11" t="inlineStr">
        <is>
          <t>W25: risk_attribution per position / sector variance share, component VaR, beta, systematic vs idiosyncratic</t>
        </is>
      </c>
      <c r="I49" s="11" t="inlineStr">
        <is>
          <t>Independent QA</t>
        </is>
      </c>
      <c r="J49" s="11" t="inlineStr">
        <is>
          <t>Independent QA</t>
        </is>
      </c>
    </row>
    <row r="50">
      <c r="A50" s="11" t="n">
        <v>191</v>
      </c>
      <c r="B50" s="11" t="inlineStr">
        <is>
          <t>Risk &amp; Portfolio</t>
        </is>
      </c>
      <c r="C50" s="11" t="inlineStr">
        <is>
          <t>PF-08</t>
        </is>
      </c>
      <c r="D50" s="11" t="inlineStr">
        <is>
          <t>Portfolio</t>
        </is>
      </c>
      <c r="E50" s="11" t="inlineStr">
        <is>
          <t>Performance attribution</t>
        </is>
      </c>
      <c r="F50" s="13" t="n">
        <v>0.75</v>
      </c>
      <c r="G50" s="11" t="inlineStr">
        <is>
          <t>W25</t>
        </is>
      </c>
      <c r="H50" s="11" t="inlineStr">
        <is>
          <t>W25: holdings-based contribution by position / sector, beta-alpha split vs NIFTY50, Brinson allocation/selection vs equal-weighted universe</t>
        </is>
      </c>
      <c r="I50" s="11" t="inlineStr">
        <is>
          <t>Independent QA; trade-based attribution needs a LIVE trade ledger</t>
        </is>
      </c>
      <c r="J50" s="11" t="inlineStr">
        <is>
          <t>Independent QA</t>
        </is>
      </c>
    </row>
    <row r="51">
      <c r="A51" s="11" t="n">
        <v>192</v>
      </c>
      <c r="B51" s="11" t="inlineStr">
        <is>
          <t>Risk &amp; Portfolio</t>
        </is>
      </c>
      <c r="C51" s="11" t="inlineStr">
        <is>
          <t>PF-11</t>
        </is>
      </c>
      <c r="D51" s="11" t="inlineStr">
        <is>
          <t>Portfolio</t>
        </is>
      </c>
      <c r="E51" s="11" t="inlineStr">
        <is>
          <t>CAGR/XIRR analytics</t>
        </is>
      </c>
      <c r="F51" s="13" t="n">
        <v>0.7</v>
      </c>
      <c r="G51" s="11" t="inlineStr">
        <is>
          <t>W25</t>
        </is>
      </c>
      <c r="H51" s="11" t="inlineStr">
        <is>
          <t>W25: CAGR from pnl_daily equity; PAPER book + per-position XIRR from paper fills (wealth ledger XIRR in W15.5)</t>
        </is>
      </c>
      <c r="I51" s="11" t="inlineStr">
        <is>
          <t>Independent QA; LIVE XIRR needs a trade ledger</t>
        </is>
      </c>
      <c r="J51" s="11" t="inlineStr">
        <is>
          <t>Independent QA</t>
        </is>
      </c>
    </row>
    <row r="52">
      <c r="A52" s="11" t="n">
        <v>193</v>
      </c>
      <c r="B52" s="11" t="inlineStr">
        <is>
          <t>Risk &amp; Portfolio</t>
        </is>
      </c>
      <c r="C52" s="11" t="inlineStr">
        <is>
          <t>DB-17</t>
        </is>
      </c>
      <c r="D52" s="11" t="inlineStr">
        <is>
          <t>Dashboard</t>
        </is>
      </c>
      <c r="E52" s="11" t="inlineStr">
        <is>
          <t>Risk dashboard</t>
        </is>
      </c>
      <c r="F52" s="13" t="n">
        <v>0.85</v>
      </c>
      <c r="G52" s="11" t="inlineStr">
        <is>
          <t>W25</t>
        </is>
      </c>
      <c r="H52" s="11" t="inlineStr">
        <is>
          <t>W25: /trading Portfolio risk panels: KPIs, VaR/ES table, concentration, risk contribution, correlation heatmap, performance attribution, emergency exit</t>
        </is>
      </c>
      <c r="I52" s="11" t="inlineStr">
        <is>
          <t>Independent QA</t>
        </is>
      </c>
      <c r="J52" s="11" t="inlineStr">
        <is>
          <t>Independent QA</t>
        </is>
      </c>
    </row>
    <row r="53">
      <c r="A53" s="11" t="n">
        <v>224</v>
      </c>
      <c r="B53" s="11" t="inlineStr">
        <is>
          <t>Production Hardening</t>
        </is>
      </c>
      <c r="C53" s="11" t="inlineStr">
        <is>
          <t>MON-05</t>
        </is>
      </c>
      <c r="D53" s="11" t="inlineStr">
        <is>
          <t>Monitoring</t>
        </is>
      </c>
      <c r="E53" s="11" t="inlineStr">
        <is>
          <t>Model/factor decay monitoring</t>
        </is>
      </c>
      <c r="F53" s="13" t="n">
        <v>0.75</v>
      </c>
      <c r="G53" s="11" t="inlineStr">
        <is>
          <t>W24</t>
        </is>
      </c>
      <c r="H53" s="11" t="inlineStr">
        <is>
          <t>W24: model + factor IC decay monitoring with alerts</t>
        </is>
      </c>
      <c r="I53" s="11" t="inlineStr">
        <is>
          <t>Needs factor history (W22 backfill)</t>
        </is>
      </c>
      <c r="J53" s="11" t="inlineStr">
        <is>
          <t>Independent QA</t>
        </is>
      </c>
    </row>
    <row r="54">
      <c r="A54" s="11" t="n">
        <v>267</v>
      </c>
      <c r="B54" s="11" t="inlineStr">
        <is>
          <t>Wealth track (Waves 11-20)</t>
        </is>
      </c>
      <c r="C54" s="11" t="inlineStr">
        <is>
          <t>INV-001</t>
        </is>
      </c>
      <c r="D54" s="11" t="inlineStr">
        <is>
          <t>Wealth</t>
        </is>
      </c>
      <c r="E54" s="11" t="inlineStr">
        <is>
          <t>Investor DNA</t>
        </is>
      </c>
      <c r="F54" s="13" t="n">
        <v>0.8</v>
      </c>
      <c r="G54" s="11" t="inlineStr">
        <is>
          <t>W11</t>
        </is>
      </c>
      <c r="H54" s="11" t="inlineStr">
        <is>
          <t>W11: Risk capacity / tolerance / requirement, horizon, behaviour, personality</t>
        </is>
      </c>
      <c r="I54" s="11" t="inlineStr">
        <is>
          <t>Independent testing (ChatGPT) + UAT; merge after authorization</t>
        </is>
      </c>
      <c r="J54" s="11" t="inlineStr">
        <is>
          <t>Independent QA</t>
        </is>
      </c>
    </row>
    <row r="55">
      <c r="A55" s="11" t="n">
        <v>268</v>
      </c>
      <c r="B55" s="11" t="inlineStr">
        <is>
          <t>Wealth track (Waves 11-20)</t>
        </is>
      </c>
      <c r="C55" s="11" t="inlineStr">
        <is>
          <t>WLT-001</t>
        </is>
      </c>
      <c r="D55" s="11" t="inlineStr">
        <is>
          <t>Wealth</t>
        </is>
      </c>
      <c r="E55" s="11" t="inlineStr">
        <is>
          <t>Multi-asset wealth dashboard</t>
        </is>
      </c>
      <c r="F55" s="13" t="n">
        <v>0.8</v>
      </c>
      <c r="G55" s="11" t="inlineStr">
        <is>
          <t>W12</t>
        </is>
      </c>
      <c r="H55" s="11" t="inlineStr">
        <is>
          <t>W12: Unified holdings, net worth, allocation, concentration, overlay</t>
        </is>
      </c>
      <c r="I55" s="11" t="inlineStr">
        <is>
          <t>Independent testing (ChatGPT) + UAT; merge after authorization</t>
        </is>
      </c>
      <c r="J55" s="11" t="inlineStr">
        <is>
          <t>Independent QA</t>
        </is>
      </c>
    </row>
    <row r="56">
      <c r="A56" s="11" t="n">
        <v>269</v>
      </c>
      <c r="B56" s="11" t="inlineStr">
        <is>
          <t>Wealth track (Waves 11-20)</t>
        </is>
      </c>
      <c r="C56" s="11" t="inlineStr">
        <is>
          <t>GOL-001</t>
        </is>
      </c>
      <c r="D56" s="11" t="inlineStr">
        <is>
          <t>Wealth</t>
        </is>
      </c>
      <c r="E56" s="11" t="inlineStr">
        <is>
          <t>Goal planning engine</t>
        </is>
      </c>
      <c r="F56" s="13" t="n">
        <v>0.8</v>
      </c>
      <c r="G56" s="11" t="inlineStr">
        <is>
          <t>W13</t>
        </is>
      </c>
      <c r="H56" s="11" t="inlineStr">
        <is>
          <t>W13: Corpus, contributions, CAGR, shortfall, Monte Carlo, scenarios</t>
        </is>
      </c>
      <c r="I56" s="11" t="inlineStr">
        <is>
          <t>Independent testing (ChatGPT) + UAT; merge after authorization</t>
        </is>
      </c>
      <c r="J56" s="11" t="inlineStr">
        <is>
          <t>Independent QA</t>
        </is>
      </c>
    </row>
    <row r="57">
      <c r="A57" s="11" t="n">
        <v>270</v>
      </c>
      <c r="B57" s="11" t="inlineStr">
        <is>
          <t>Wealth track (Waves 11-20)</t>
        </is>
      </c>
      <c r="C57" s="11" t="inlineStr">
        <is>
          <t>AAL-001</t>
        </is>
      </c>
      <c r="D57" s="11" t="inlineStr">
        <is>
          <t>Wealth</t>
        </is>
      </c>
      <c r="E57" s="11" t="inlineStr">
        <is>
          <t>Dynamic asset allocation</t>
        </is>
      </c>
      <c r="F57" s="13" t="n">
        <v>0.8</v>
      </c>
      <c r="G57" s="11" t="inlineStr">
        <is>
          <t>W14</t>
        </is>
      </c>
      <c r="H57" s="11" t="inlineStr">
        <is>
          <t>W14: Strategic + tactical from DNA, goals, regime, ATIP signals</t>
        </is>
      </c>
      <c r="I57" s="11" t="inlineStr">
        <is>
          <t>Independent testing (ChatGPT) + UAT; merge after authorization</t>
        </is>
      </c>
      <c r="J57" s="11" t="inlineStr">
        <is>
          <t>Independent QA</t>
        </is>
      </c>
    </row>
    <row r="58">
      <c r="A58" s="11" t="n">
        <v>271</v>
      </c>
      <c r="B58" s="11" t="inlineStr">
        <is>
          <t>Wealth track (Waves 11-20)</t>
        </is>
      </c>
      <c r="C58" s="11" t="inlineStr">
        <is>
          <t>RBL-001</t>
        </is>
      </c>
      <c r="D58" s="11" t="inlineStr">
        <is>
          <t>Wealth</t>
        </is>
      </c>
      <c r="E58" s="11" t="inlineStr">
        <is>
          <t>Portfolio rebalancing</t>
        </is>
      </c>
      <c r="F58" s="13" t="n">
        <v>0.8</v>
      </c>
      <c r="G58" s="11" t="inlineStr">
        <is>
          <t>W15</t>
        </is>
      </c>
      <c r="H58" s="11" t="inlineStr">
        <is>
          <t>W15: Drift, triggers, cost-aware plans (tax-neutral)</t>
        </is>
      </c>
      <c r="I58" s="11" t="inlineStr">
        <is>
          <t>Independent testing (ChatGPT) + UAT; merge after authorization</t>
        </is>
      </c>
      <c r="J58" s="11" t="inlineStr">
        <is>
          <t>Independent QA</t>
        </is>
      </c>
    </row>
    <row r="59">
      <c r="A59" s="11" t="n">
        <v>272</v>
      </c>
      <c r="B59" s="11" t="inlineStr">
        <is>
          <t>Wealth track (Waves 11-20)</t>
        </is>
      </c>
      <c r="C59" s="11" t="inlineStr">
        <is>
          <t>PERF-001</t>
        </is>
      </c>
      <c r="D59" s="11" t="inlineStr">
        <is>
          <t>Wealth</t>
        </is>
      </c>
      <c r="E59" s="11" t="inlineStr">
        <is>
          <t>Investor performance attribution</t>
        </is>
      </c>
      <c r="F59" s="13" t="n">
        <v>0.8</v>
      </c>
      <c r="G59" s="11" t="inlineStr">
        <is>
          <t>W15.5</t>
        </is>
      </c>
      <c r="H59" s="11" t="inlineStr">
        <is>
          <t>W15.5: Model / executable / actual / benchmark; attribution; audit; export</t>
        </is>
      </c>
      <c r="I59" s="11" t="inlineStr">
        <is>
          <t>Independent testing (ChatGPT) + UAT; merge after authorization</t>
        </is>
      </c>
      <c r="J59" s="11" t="inlineStr">
        <is>
          <t>Independent QA</t>
        </is>
      </c>
    </row>
    <row r="60">
      <c r="A60" s="11" t="n">
        <v>273</v>
      </c>
      <c r="B60" s="11" t="inlineStr">
        <is>
          <t>Wealth track (Waves 11-20)</t>
        </is>
      </c>
      <c r="C60" s="11" t="inlineStr">
        <is>
          <t>AIA-001</t>
        </is>
      </c>
      <c r="D60" s="11" t="inlineStr">
        <is>
          <t>Wealth</t>
        </is>
      </c>
      <c r="E60" s="11" t="inlineStr">
        <is>
          <t>AI investment advisor</t>
        </is>
      </c>
      <c r="F60" s="13" t="n">
        <v>0.8</v>
      </c>
      <c r="G60" s="11" t="inlineStr">
        <is>
          <t>W16</t>
        </is>
      </c>
      <c r="H60" s="11" t="inlineStr">
        <is>
          <t>W16: Evidence-backed, suitability-checked; optional Claude narration</t>
        </is>
      </c>
      <c r="I60" s="11" t="inlineStr">
        <is>
          <t>Independent testing (ChatGPT) + UAT; merge after authorization</t>
        </is>
      </c>
      <c r="J60" s="11" t="inlineStr">
        <is>
          <t>Independent QA</t>
        </is>
      </c>
    </row>
    <row r="61">
      <c r="A61" s="11" t="n">
        <v>274</v>
      </c>
      <c r="B61" s="11" t="inlineStr">
        <is>
          <t>Wealth track (Waves 11-20)</t>
        </is>
      </c>
      <c r="C61" s="11" t="inlineStr">
        <is>
          <t>INT-001</t>
        </is>
      </c>
      <c r="D61" s="11" t="inlineStr">
        <is>
          <t>Wealth</t>
        </is>
      </c>
      <c r="E61" s="11" t="inlineStr">
        <is>
          <t>Integrated intelligence</t>
        </is>
      </c>
      <c r="F61" s="13" t="n">
        <v>0.8</v>
      </c>
      <c r="G61" s="11" t="inlineStr">
        <is>
          <t>W17</t>
        </is>
      </c>
      <c r="H61" s="11" t="inlineStr">
        <is>
          <t>W17: Investor cycle, overview, modes, signal suitability</t>
        </is>
      </c>
      <c r="I61" s="11" t="inlineStr">
        <is>
          <t>Independent testing (ChatGPT) + UAT; merge after authorization</t>
        </is>
      </c>
      <c r="J61" s="11" t="inlineStr">
        <is>
          <t>Independent QA</t>
        </is>
      </c>
    </row>
    <row r="62">
      <c r="A62" s="11" t="n">
        <v>277</v>
      </c>
      <c r="B62" s="11" t="inlineStr">
        <is>
          <t>Wealth track (Waves 11-20)</t>
        </is>
      </c>
      <c r="C62" s="11" t="inlineStr">
        <is>
          <t>REL-001</t>
        </is>
      </c>
      <c r="D62" s="11" t="inlineStr">
        <is>
          <t>Wealth</t>
        </is>
      </c>
      <c r="E62" s="11" t="inlineStr">
        <is>
          <t>Wealth production hardening</t>
        </is>
      </c>
      <c r="F62" s="13" t="n">
        <v>0.8</v>
      </c>
      <c r="G62" s="11" t="inlineStr">
        <is>
          <t>W20</t>
        </is>
      </c>
      <c r="H62" s="11" t="inlineStr">
        <is>
          <t>W20: Migration 0005, /health/wealth, monitor, backup, docs, RC</t>
        </is>
      </c>
      <c r="I62" s="11" t="inlineStr">
        <is>
          <t>Independent testing (ChatGPT) + UAT; merge after authorization</t>
        </is>
      </c>
      <c r="J62" s="11" t="inlineStr">
        <is>
          <t>Independent QA</t>
        </is>
      </c>
    </row>
  </sheetData>
  <autoFilter ref="A1:J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6" customWidth="1" min="4" max="4"/>
    <col width="30" customWidth="1" min="5" max="5"/>
    <col width="10" customWidth="1" min="6" max="6"/>
    <col width="8" customWidth="1" min="7" max="7"/>
    <col width="55" customWidth="1" min="8" max="8"/>
    <col width="45" customWidth="1" min="9" max="9"/>
    <col width="30" customWidth="1" min="10" max="10"/>
  </cols>
  <sheetData>
    <row r="1">
      <c r="A1" s="3" t="inlineStr">
        <is>
          <t>Seq</t>
        </is>
      </c>
      <c r="B1" s="3" t="inlineStr">
        <is>
          <t>Phase Name</t>
        </is>
      </c>
      <c r="C1" s="3" t="inlineStr">
        <is>
          <t>ID</t>
        </is>
      </c>
      <c r="D1" s="3" t="inlineStr">
        <is>
          <t>Module</t>
        </is>
      </c>
      <c r="E1" s="3" t="inlineStr">
        <is>
          <t>Feature</t>
        </is>
      </c>
      <c r="F1" s="3" t="inlineStr">
        <is>
          <t>Completion %</t>
        </is>
      </c>
      <c r="G1" s="3" t="inlineStr">
        <is>
          <t>Wave</t>
        </is>
      </c>
      <c r="H1" s="3" t="inlineStr">
        <is>
          <t>Current Implementation</t>
        </is>
      </c>
      <c r="I1" s="3" t="inlineStr">
        <is>
          <t>Next Action / Missing Work</t>
        </is>
      </c>
      <c r="J1" s="3" t="inlineStr">
        <is>
          <t>Needs</t>
        </is>
      </c>
    </row>
    <row r="2">
      <c r="A2" s="11" t="n">
        <v>74</v>
      </c>
      <c r="B2" s="11" t="inlineStr">
        <is>
          <t>Foundation</t>
        </is>
      </c>
      <c r="C2" s="11" t="inlineStr">
        <is>
          <t>DP-15</t>
        </is>
      </c>
      <c r="D2" s="11" t="inlineStr">
        <is>
          <t>Data Platform</t>
        </is>
      </c>
      <c r="E2" s="11" t="inlineStr">
        <is>
          <t>Fundamentals</t>
        </is>
      </c>
      <c r="F2" s="13" t="n">
        <v>0.3</v>
      </c>
      <c r="G2" s="11" t="inlineStr"/>
      <c r="H2" s="11" t="inlineStr">
        <is>
          <t>Screener.in fetcher; ingestion disabled</t>
        </is>
      </c>
      <c r="I2" s="11" t="inlineStr">
        <is>
          <t>Your decision; enable; quarterly store; no 50.0 default</t>
        </is>
      </c>
      <c r="J2" s="11" t="inlineStr">
        <is>
          <t>Owner: Enable fundamentals ingestion (Screener.in)</t>
        </is>
      </c>
    </row>
    <row r="3">
      <c r="A3" s="11" t="n">
        <v>75</v>
      </c>
      <c r="B3" s="11" t="inlineStr">
        <is>
          <t>Foundation</t>
        </is>
      </c>
      <c r="C3" s="11" t="inlineStr">
        <is>
          <t>SC-13</t>
        </is>
      </c>
      <c r="D3" s="11" t="inlineStr">
        <is>
          <t>Alpha/Factor Engine</t>
        </is>
      </c>
      <c r="E3" s="11" t="inlineStr">
        <is>
          <t>Fundamental Score</t>
        </is>
      </c>
      <c r="F3" s="13" t="n">
        <v>0.2</v>
      </c>
      <c r="G3" s="11" t="inlineStr"/>
      <c r="H3" s="11" t="inlineStr">
        <is>
          <t>Default 50 when unparsed</t>
        </is>
      </c>
      <c r="I3" s="11" t="inlineStr">
        <is>
          <t>Implement FS formula on real data</t>
        </is>
      </c>
      <c r="J3" s="11" t="inlineStr">
        <is>
          <t>Development</t>
        </is>
      </c>
    </row>
    <row r="4">
      <c r="A4" s="11" t="n">
        <v>76</v>
      </c>
      <c r="B4" s="11" t="inlineStr">
        <is>
          <t>Foundation</t>
        </is>
      </c>
      <c r="C4" s="11" t="inlineStr">
        <is>
          <t>SC-02</t>
        </is>
      </c>
      <c r="D4" s="11" t="inlineStr">
        <is>
          <t>Alpha/Factor Engine</t>
        </is>
      </c>
      <c r="E4" s="11" t="inlineStr">
        <is>
          <t>SPI</t>
        </is>
      </c>
      <c r="F4" s="13" t="n">
        <v>0.3</v>
      </c>
      <c r="G4" s="11" t="inlineStr"/>
      <c r="H4" s="11">
        <f> fundamental_score (double-weighted)</f>
        <v/>
      </c>
      <c r="I4" s="11" t="inlineStr">
        <is>
          <t>Implement SPI formula separately from FS</t>
        </is>
      </c>
      <c r="J4" s="11" t="inlineStr">
        <is>
          <t>Development</t>
        </is>
      </c>
    </row>
    <row r="5">
      <c r="A5" s="11" t="n">
        <v>91</v>
      </c>
      <c r="B5" s="11" t="inlineStr">
        <is>
          <t>Quant Research (data, factors, backtesting)</t>
        </is>
      </c>
      <c r="C5" s="11" t="inlineStr">
        <is>
          <t>DP-01</t>
        </is>
      </c>
      <c r="D5" s="11" t="inlineStr">
        <is>
          <t>Data Platform</t>
        </is>
      </c>
      <c r="E5" s="11" t="inlineStr">
        <is>
          <t>Live market data</t>
        </is>
      </c>
      <c r="F5" s="13" t="n">
        <v>0.6</v>
      </c>
      <c r="G5" s="11" t="inlineStr"/>
      <c r="H5" s="11" t="inlineStr">
        <is>
          <t>Index WebSocket 09:00-15:45 + quote cache; stock tick feed never run</t>
        </is>
      </c>
      <c r="I5" s="11" t="inlineStr">
        <is>
          <t>Stock-level live feed in production; failover</t>
        </is>
      </c>
      <c r="J5" s="11" t="inlineStr">
        <is>
          <t>Development</t>
        </is>
      </c>
    </row>
    <row r="6">
      <c r="A6" s="11" t="n">
        <v>133</v>
      </c>
      <c r="B6" s="11" t="inlineStr">
        <is>
          <t>Quant Research (data, factors, backtesting)</t>
        </is>
      </c>
      <c r="C6" s="11" t="inlineStr">
        <is>
          <t>SC-06</t>
        </is>
      </c>
      <c r="D6" s="11" t="inlineStr">
        <is>
          <t>Alpha/Factor Engine</t>
        </is>
      </c>
      <c r="E6" s="11" t="inlineStr">
        <is>
          <t>MSI</t>
        </is>
      </c>
      <c r="F6" s="13" t="n">
        <v>0.55</v>
      </c>
      <c r="G6" s="11" t="inlineStr"/>
      <c r="H6" s="11" t="inlineStr">
        <is>
          <t>Options/PCR frozen; news rule-based</t>
        </is>
      </c>
      <c r="I6" s="11" t="inlineStr">
        <is>
          <t>Real PCR; AI news later</t>
        </is>
      </c>
      <c r="J6" s="11" t="inlineStr">
        <is>
          <t>Development</t>
        </is>
      </c>
    </row>
    <row r="7">
      <c r="A7" s="11" t="n">
        <v>136</v>
      </c>
      <c r="B7" s="11" t="inlineStr">
        <is>
          <t>Quant Research (data, factors, backtesting)</t>
        </is>
      </c>
      <c r="C7" s="11" t="inlineStr">
        <is>
          <t>DB-04</t>
        </is>
      </c>
      <c r="D7" s="11" t="inlineStr">
        <is>
          <t>Dashboard</t>
        </is>
      </c>
      <c r="E7" s="11" t="inlineStr">
        <is>
          <t>GIFT Nifty panel</t>
        </is>
      </c>
      <c r="F7" s="13" t="n">
        <v>0.6</v>
      </c>
      <c r="G7" s="11" t="inlineStr"/>
      <c r="H7" s="11" t="inlineStr">
        <is>
          <t>In index strip</t>
        </is>
      </c>
      <c r="I7" s="11" t="inlineStr">
        <is>
          <t>Dedicated pre-open view</t>
        </is>
      </c>
      <c r="J7" s="11" t="inlineStr">
        <is>
          <t>Development</t>
        </is>
      </c>
    </row>
    <row r="8">
      <c r="A8" s="11" t="n">
        <v>137</v>
      </c>
      <c r="B8" s="11" t="inlineStr">
        <is>
          <t>Quant Research (data, factors, backtesting)</t>
        </is>
      </c>
      <c r="C8" s="11" t="inlineStr">
        <is>
          <t>DP-12</t>
        </is>
      </c>
      <c r="D8" s="11" t="inlineStr">
        <is>
          <t>Data Platform</t>
        </is>
      </c>
      <c r="E8" s="11" t="inlineStr">
        <is>
          <t>Global markets</t>
        </is>
      </c>
      <c r="F8" s="13" t="n">
        <v>0.7</v>
      </c>
      <c r="G8" s="11" t="inlineStr"/>
      <c r="H8" s="11" t="inlineStr">
        <is>
          <t>13 yfinance tickers</t>
        </is>
      </c>
      <c r="I8" s="11" t="inlineStr">
        <is>
          <t>Bond yields; history depth</t>
        </is>
      </c>
      <c r="J8" s="11" t="inlineStr">
        <is>
          <t>Development</t>
        </is>
      </c>
    </row>
    <row r="9">
      <c r="A9" s="11" t="n">
        <v>139</v>
      </c>
      <c r="B9" s="11" t="inlineStr">
        <is>
          <t>Quant Research (data, factors, backtesting)</t>
        </is>
      </c>
      <c r="C9" s="11" t="inlineStr">
        <is>
          <t>DP-16</t>
        </is>
      </c>
      <c r="D9" s="11" t="inlineStr">
        <is>
          <t>Data Platform</t>
        </is>
      </c>
      <c r="E9" s="11" t="inlineStr">
        <is>
          <t>Institutional data</t>
        </is>
      </c>
      <c r="F9" s="13" t="n">
        <v>0.25</v>
      </c>
      <c r="G9" s="11" t="inlineStr"/>
      <c r="H9" s="11" t="inlineStr">
        <is>
          <t>Bulk/block only</t>
        </is>
      </c>
      <c r="I9" s="11" t="inlineStr">
        <is>
          <t>Promoter/SAST/PIT/MF feeds</t>
        </is>
      </c>
      <c r="J9" s="11" t="inlineStr">
        <is>
          <t>Development</t>
        </is>
      </c>
    </row>
    <row r="10">
      <c r="A10" s="11" t="n">
        <v>140</v>
      </c>
      <c r="B10" s="11" t="inlineStr">
        <is>
          <t>Quant Research (data, factors, backtesting)</t>
        </is>
      </c>
      <c r="C10" s="11" t="inlineStr">
        <is>
          <t>SC-14</t>
        </is>
      </c>
      <c r="D10" s="11" t="inlineStr">
        <is>
          <t>Alpha/Factor Engine</t>
        </is>
      </c>
      <c r="E10" s="11" t="inlineStr">
        <is>
          <t>Institutional Score</t>
        </is>
      </c>
      <c r="F10" s="13" t="n">
        <v>0.4</v>
      </c>
      <c r="G10" s="11" t="inlineStr"/>
      <c r="H10" s="11" t="inlineStr">
        <is>
          <t>FII + bulk only</t>
        </is>
      </c>
      <c r="I10" s="11" t="inlineStr">
        <is>
          <t>Add MF/promoter/insider</t>
        </is>
      </c>
      <c r="J10" s="11" t="inlineStr">
        <is>
          <t>Development</t>
        </is>
      </c>
    </row>
    <row r="11">
      <c r="A11" s="11" t="n">
        <v>141</v>
      </c>
      <c r="B11" s="11" t="inlineStr">
        <is>
          <t>Quant Research (data, factors, backtesting)</t>
        </is>
      </c>
      <c r="C11" s="11" t="inlineStr">
        <is>
          <t>AD-03</t>
        </is>
      </c>
      <c r="D11" s="11" t="inlineStr">
        <is>
          <t>Alternative Data</t>
        </is>
      </c>
      <c r="E11" s="11" t="inlineStr">
        <is>
          <t>Bulk/block deal signal</t>
        </is>
      </c>
      <c r="F11" s="13" t="n">
        <v>0.4</v>
      </c>
      <c r="G11" s="11" t="inlineStr"/>
      <c r="H11" s="11" t="inlineStr">
        <is>
          <t>Feeds INS</t>
        </is>
      </c>
      <c r="I11" s="11" t="inlineStr">
        <is>
          <t>Validate with IC</t>
        </is>
      </c>
      <c r="J11" s="11" t="inlineStr">
        <is>
          <t>Development</t>
        </is>
      </c>
    </row>
    <row r="12">
      <c r="A12" s="11" t="n">
        <v>153</v>
      </c>
      <c r="B12" s="11" t="inlineStr">
        <is>
          <t>Strategy Engine</t>
        </is>
      </c>
      <c r="C12" s="11" t="inlineStr">
        <is>
          <t>SG-08</t>
        </is>
      </c>
      <c r="D12" s="11" t="inlineStr">
        <is>
          <t>Signal Engine</t>
        </is>
      </c>
      <c r="E12" s="11" t="inlineStr">
        <is>
          <t>Intraday scans</t>
        </is>
      </c>
      <c r="F12" s="13" t="n">
        <v>0.6</v>
      </c>
      <c r="G12" s="11" t="inlineStr"/>
      <c r="H12" s="11" t="inlineStr">
        <is>
          <t>Scheduled 12:30 and 14:45</t>
        </is>
      </c>
      <c r="I12" s="11" t="inlineStr">
        <is>
          <t>Use stored intraday bars</t>
        </is>
      </c>
      <c r="J12" s="11" t="inlineStr">
        <is>
          <t>Development</t>
        </is>
      </c>
    </row>
    <row r="13">
      <c r="A13" s="11" t="n">
        <v>154</v>
      </c>
      <c r="B13" s="11" t="inlineStr">
        <is>
          <t>Strategy Engine</t>
        </is>
      </c>
      <c r="C13" s="11" t="inlineStr">
        <is>
          <t>DB-11</t>
        </is>
      </c>
      <c r="D13" s="11" t="inlineStr">
        <is>
          <t>Dashboard</t>
        </is>
      </c>
      <c r="E13" s="11" t="inlineStr">
        <is>
          <t>Crash Risk + Top 25 SPI/MSI lists</t>
        </is>
      </c>
      <c r="F13" s="13" t="n">
        <v>0.4</v>
      </c>
      <c r="G13" s="11" t="inlineStr"/>
      <c r="H13" s="11" t="inlineStr">
        <is>
          <t>CRI per-stock column only</t>
        </is>
      </c>
      <c r="I13" s="11" t="inlineStr">
        <is>
          <t>Dedicated lists</t>
        </is>
      </c>
      <c r="J13" s="11" t="inlineStr">
        <is>
          <t>Development</t>
        </is>
      </c>
    </row>
    <row r="14">
      <c r="A14" s="11" t="n">
        <v>155</v>
      </c>
      <c r="B14" s="11" t="inlineStr">
        <is>
          <t>Strategy Engine</t>
        </is>
      </c>
      <c r="C14" s="11" t="inlineStr">
        <is>
          <t>DB-16</t>
        </is>
      </c>
      <c r="D14" s="11" t="inlineStr">
        <is>
          <t>Dashboard</t>
        </is>
      </c>
      <c r="E14" s="11" t="inlineStr">
        <is>
          <t>Strategy performance panel</t>
        </is>
      </c>
      <c r="F14" s="13" t="n">
        <v>0.3</v>
      </c>
      <c r="G14" s="11" t="inlineStr"/>
      <c r="H14" s="11" t="inlineStr">
        <is>
          <t>/strategies list shows latest signals; per-strategy P&amp;L from W4 fills on /trading</t>
        </is>
      </c>
      <c r="I14" s="11" t="inlineStr">
        <is>
          <t>Performance panel</t>
        </is>
      </c>
      <c r="J14" s="11" t="inlineStr">
        <is>
          <t>Development</t>
        </is>
      </c>
    </row>
    <row r="15">
      <c r="A15" s="11" t="n">
        <v>167</v>
      </c>
      <c r="B15" s="11" t="inlineStr">
        <is>
          <t>AI/ML</t>
        </is>
      </c>
      <c r="C15" s="11" t="inlineStr">
        <is>
          <t>SE-05</t>
        </is>
      </c>
      <c r="D15" s="11" t="inlineStr">
        <is>
          <t>Strategy Engine</t>
        </is>
      </c>
      <c r="E15" s="11" t="inlineStr">
        <is>
          <t>AI-driven strategies</t>
        </is>
      </c>
      <c r="F15" s="13" t="n">
        <v>0.6</v>
      </c>
      <c r="G15" s="11" t="inlineStr"/>
      <c r="H15" s="11" t="inlineStr">
        <is>
          <t>ml_* strategy features (point in time, out of sample); ml_direction / atip_ml_blend (DRAFT); W4 risk check ml_model_active blocks signals of non-ACTIVE models</t>
        </is>
      </c>
      <c r="I15" s="11" t="inlineStr">
        <is>
          <t>Activate once a model is ACTIVE</t>
        </is>
      </c>
      <c r="J15" s="11" t="inlineStr">
        <is>
          <t>Owner: Activate a model (after evidence)</t>
        </is>
      </c>
    </row>
    <row r="16">
      <c r="A16" s="11" t="n">
        <v>168</v>
      </c>
      <c r="B16" s="11" t="inlineStr">
        <is>
          <t>AI/ML</t>
        </is>
      </c>
      <c r="C16" s="11" t="inlineStr">
        <is>
          <t>NS-02</t>
        </is>
      </c>
      <c r="D16" s="11" t="inlineStr">
        <is>
          <t>News/Sentiment</t>
        </is>
      </c>
      <c r="E16" s="11" t="inlineStr">
        <is>
          <t>News classification</t>
        </is>
      </c>
      <c r="F16" s="13" t="n">
        <v>0.3</v>
      </c>
      <c r="G16" s="11" t="inlineStr"/>
      <c r="H16" s="11" t="inlineStr">
        <is>
          <t>Claude classifier coded; key unset</t>
        </is>
      </c>
      <c r="I16" s="11" t="inlineStr">
        <is>
          <t>Set key; taxonomy; cost cap</t>
        </is>
      </c>
      <c r="J16" s="11" t="inlineStr">
        <is>
          <t>Owner: Provide a working Anthropic API key (current key 401)</t>
        </is>
      </c>
    </row>
    <row r="17">
      <c r="A17" s="11" t="n">
        <v>169</v>
      </c>
      <c r="B17" s="11" t="inlineStr">
        <is>
          <t>AI/ML</t>
        </is>
      </c>
      <c r="C17" s="11" t="inlineStr">
        <is>
          <t>NS-03</t>
        </is>
      </c>
      <c r="D17" s="11" t="inlineStr">
        <is>
          <t>News/Sentiment</t>
        </is>
      </c>
      <c r="E17" s="11" t="inlineStr">
        <is>
          <t>Sentiment + confidence</t>
        </is>
      </c>
      <c r="F17" s="13" t="n">
        <v>0.4</v>
      </c>
      <c r="G17" s="11" t="inlineStr"/>
      <c r="H17" s="11" t="inlineStr">
        <is>
          <t>Rule-based; confidence frozen 50</t>
        </is>
      </c>
      <c r="I17" s="11" t="inlineStr">
        <is>
          <t>Model-based scoring</t>
        </is>
      </c>
      <c r="J17" s="11" t="inlineStr">
        <is>
          <t>Development</t>
        </is>
      </c>
    </row>
    <row r="18">
      <c r="A18" s="11" t="n">
        <v>171</v>
      </c>
      <c r="B18" s="11" t="inlineStr">
        <is>
          <t>AI/ML</t>
        </is>
      </c>
      <c r="C18" s="11" t="inlineStr">
        <is>
          <t>NS-04</t>
        </is>
      </c>
      <c r="D18" s="11" t="inlineStr">
        <is>
          <t>News/Sentiment</t>
        </is>
      </c>
      <c r="E18" s="11" t="inlineStr">
        <is>
          <t>AI news summary</t>
        </is>
      </c>
      <c r="F18" s="13" t="n">
        <v>0.5</v>
      </c>
      <c r="G18" s="11" t="inlineStr"/>
      <c r="H18" s="11" t="inlineStr">
        <is>
          <t>Headline list</t>
        </is>
      </c>
      <c r="I18" s="11" t="inlineStr">
        <is>
          <t>LLM summary</t>
        </is>
      </c>
      <c r="J18" s="11" t="inlineStr">
        <is>
          <t>Development</t>
        </is>
      </c>
    </row>
    <row r="19">
      <c r="A19" s="11" t="n">
        <v>172</v>
      </c>
      <c r="B19" s="11" t="inlineStr">
        <is>
          <t>AI/ML</t>
        </is>
      </c>
      <c r="C19" s="11" t="inlineStr">
        <is>
          <t>DB-06</t>
        </is>
      </c>
      <c r="D19" s="11" t="inlineStr">
        <is>
          <t>Dashboard</t>
        </is>
      </c>
      <c r="E19" s="11" t="inlineStr">
        <is>
          <t>AI News Summary panel</t>
        </is>
      </c>
      <c r="F19" s="13" t="n">
        <v>0.5</v>
      </c>
      <c r="G19" s="11" t="inlineStr"/>
      <c r="H19" s="11" t="inlineStr">
        <is>
          <t>News panel (rule-based)</t>
        </is>
      </c>
      <c r="I19" s="11" t="inlineStr">
        <is>
          <t>Show AI summary</t>
        </is>
      </c>
      <c r="J19" s="11" t="inlineStr">
        <is>
          <t>Development</t>
        </is>
      </c>
    </row>
    <row r="20">
      <c r="A20" s="11" t="n">
        <v>176</v>
      </c>
      <c r="B20" s="11" t="inlineStr">
        <is>
          <t>AI/ML</t>
        </is>
      </c>
      <c r="C20" s="11" t="inlineStr">
        <is>
          <t>DB-18</t>
        </is>
      </c>
      <c r="D20" s="11" t="inlineStr">
        <is>
          <t>Dashboard</t>
        </is>
      </c>
      <c r="E20" s="11" t="inlineStr">
        <is>
          <t>Quant/model panel</t>
        </is>
      </c>
      <c r="F20" s="13" t="n">
        <v>0.4</v>
      </c>
      <c r="G20" s="11" t="inlineStr"/>
      <c r="H20" s="11" t="inlineStr">
        <is>
          <t>/ml page: models, versions, lifecycle, predictions, feature sets, datasets, training runs</t>
        </is>
      </c>
      <c r="I20" s="11" t="inlineStr">
        <is>
          <t>Monitoring charts</t>
        </is>
      </c>
      <c r="J20" s="11" t="inlineStr">
        <is>
          <t>Development</t>
        </is>
      </c>
    </row>
    <row r="21">
      <c r="A21" s="11" t="n">
        <v>194</v>
      </c>
      <c r="B21" s="11" t="inlineStr">
        <is>
          <t>Execution</t>
        </is>
      </c>
      <c r="C21" s="11" t="inlineStr">
        <is>
          <t>EX-02</t>
        </is>
      </c>
      <c r="D21" s="11" t="inlineStr">
        <is>
          <t>Execution</t>
        </is>
      </c>
      <c r="E21" s="11" t="inlineStr">
        <is>
          <t>Order types</t>
        </is>
      </c>
      <c r="F21" s="13" t="n">
        <v>0.6</v>
      </c>
      <c r="G21" s="11" t="inlineStr"/>
      <c r="H21" s="11" t="inlineStr">
        <is>
          <t>W4 OMS: MARKET and LIMIT through the paper adapter; order type from config</t>
        </is>
      </c>
      <c r="I21" s="11" t="inlineStr">
        <is>
          <t>Stop-loss / stop-limit order types</t>
        </is>
      </c>
      <c r="J21" s="11" t="inlineStr">
        <is>
          <t>Development</t>
        </is>
      </c>
    </row>
    <row r="22">
      <c r="A22" s="11" t="n">
        <v>195</v>
      </c>
      <c r="B22" s="11" t="inlineStr">
        <is>
          <t>Execution</t>
        </is>
      </c>
      <c r="C22" s="11" t="inlineStr">
        <is>
          <t>EX-08</t>
        </is>
      </c>
      <c r="D22" s="11" t="inlineStr">
        <is>
          <t>Execution</t>
        </is>
      </c>
      <c r="E22" s="11" t="inlineStr">
        <is>
          <t>Order modify/cancel</t>
        </is>
      </c>
      <c r="F22" s="13" t="n">
        <v>0.5</v>
      </c>
      <c r="G22" s="11" t="inlineStr"/>
      <c r="H22" s="11" t="inlineStr">
        <is>
          <t>Cancel with explicit CANCEL_PENDING state; status refresh; no modify</t>
        </is>
      </c>
      <c r="I22" s="11" t="inlineStr">
        <is>
          <t>Order modify</t>
        </is>
      </c>
      <c r="J22" s="11" t="inlineStr">
        <is>
          <t>Development</t>
        </is>
      </c>
    </row>
    <row r="23">
      <c r="A23" s="11" t="n">
        <v>196</v>
      </c>
      <c r="B23" s="11" t="inlineStr">
        <is>
          <t>Execution</t>
        </is>
      </c>
      <c r="C23" s="11" t="inlineStr">
        <is>
          <t>BR-05</t>
        </is>
      </c>
      <c r="D23" s="11" t="inlineStr">
        <is>
          <t>Broker Integration</t>
        </is>
      </c>
      <c r="E23" s="11" t="inlineStr">
        <is>
          <t>Execution reconciliation</t>
        </is>
      </c>
      <c r="F23" s="13" t="n">
        <v>0.3</v>
      </c>
      <c r="G23" s="11" t="inlineStr"/>
      <c r="H23" s="11" t="inlineStr">
        <is>
          <t>Partial reconcile code</t>
        </is>
      </c>
      <c r="I23" s="11" t="inlineStr">
        <is>
          <t>EOD reconciliation job + alert</t>
        </is>
      </c>
      <c r="J23" s="11" t="inlineStr">
        <is>
          <t>Development</t>
        </is>
      </c>
    </row>
    <row r="24">
      <c r="A24" s="11" t="n">
        <v>197</v>
      </c>
      <c r="B24" s="11" t="inlineStr">
        <is>
          <t>Execution</t>
        </is>
      </c>
      <c r="C24" s="11" t="inlineStr">
        <is>
          <t>BR-06</t>
        </is>
      </c>
      <c r="D24" s="11" t="inlineStr">
        <is>
          <t>Broker Integration</t>
        </is>
      </c>
      <c r="E24" s="11" t="inlineStr">
        <is>
          <t>Connection health</t>
        </is>
      </c>
      <c r="F24" s="13" t="n">
        <v>0.4</v>
      </c>
      <c r="G24" s="11" t="inlineStr"/>
      <c r="H24" s="11" t="inlineStr">
        <is>
          <t>broker-status route; WS stall detection</t>
        </is>
      </c>
      <c r="I24" s="11" t="inlineStr">
        <is>
          <t>Health checks + alerts</t>
        </is>
      </c>
      <c r="J24" s="11" t="inlineStr">
        <is>
          <t>Development</t>
        </is>
      </c>
    </row>
    <row r="25">
      <c r="A25" s="11" t="n">
        <v>198</v>
      </c>
      <c r="B25" s="11" t="inlineStr">
        <is>
          <t>Execution</t>
        </is>
      </c>
      <c r="C25" s="11" t="inlineStr">
        <is>
          <t>RK-17</t>
        </is>
      </c>
      <c r="D25" s="11" t="inlineStr">
        <is>
          <t>Risk Management</t>
        </is>
      </c>
      <c r="E25" s="11" t="inlineStr">
        <is>
          <t>Broker/operational risk</t>
        </is>
      </c>
      <c r="F25" s="13" t="n">
        <v>0.5</v>
      </c>
      <c r="G25" s="11" t="inlineStr"/>
      <c r="H25" s="11" t="inlineStr">
        <is>
          <t>Kill switch + live-trading gate + broker failure -&gt; FAILED order state with context</t>
        </is>
      </c>
      <c r="I25" s="11" t="inlineStr">
        <is>
          <t>Broker health / stale-data checks</t>
        </is>
      </c>
      <c r="J25" s="11" t="inlineStr">
        <is>
          <t>Development</t>
        </is>
      </c>
    </row>
    <row r="26">
      <c r="A26" s="11" t="n">
        <v>199</v>
      </c>
      <c r="B26" s="11" t="inlineStr">
        <is>
          <t>Execution</t>
        </is>
      </c>
      <c r="C26" s="11" t="inlineStr">
        <is>
          <t>BR-08</t>
        </is>
      </c>
      <c r="D26" s="11" t="inlineStr">
        <is>
          <t>Broker Integration</t>
        </is>
      </c>
      <c r="E26" s="11" t="inlineStr">
        <is>
          <t>Sandbox</t>
        </is>
      </c>
      <c r="F26" s="13" t="n">
        <v>0.3</v>
      </c>
      <c r="G26" s="11" t="inlineStr"/>
      <c r="H26" s="11" t="inlineStr">
        <is>
          <t>SANDBOX env defined</t>
        </is>
      </c>
      <c r="I26" s="11" t="inlineStr">
        <is>
          <t>Verify sandbox path end-to-end</t>
        </is>
      </c>
      <c r="J26" s="11" t="inlineStr">
        <is>
          <t>Development</t>
        </is>
      </c>
    </row>
    <row r="27">
      <c r="A27" s="11" t="n">
        <v>200</v>
      </c>
      <c r="B27" s="11" t="inlineStr">
        <is>
          <t>Execution</t>
        </is>
      </c>
      <c r="C27" s="11" t="inlineStr">
        <is>
          <t>EX-09</t>
        </is>
      </c>
      <c r="D27" s="11" t="inlineStr">
        <is>
          <t>Execution</t>
        </is>
      </c>
      <c r="E27" s="11" t="inlineStr">
        <is>
          <t>Measured slippage</t>
        </is>
      </c>
      <c r="F27" s="13" t="n">
        <v>0.3</v>
      </c>
      <c r="G27" s="11" t="inlineStr"/>
      <c r="H27" s="11" t="inlineStr">
        <is>
          <t>Fill price and decision reference price stored per order/fill (slippage derivable)</t>
        </is>
      </c>
      <c r="I27" s="11" t="inlineStr">
        <is>
          <t>Slippage metric + report</t>
        </is>
      </c>
      <c r="J27" s="11" t="inlineStr">
        <is>
          <t>Development</t>
        </is>
      </c>
    </row>
    <row r="28">
      <c r="A28" s="11" t="n">
        <v>201</v>
      </c>
      <c r="B28" s="11" t="inlineStr">
        <is>
          <t>Execution</t>
        </is>
      </c>
      <c r="C28" s="11" t="inlineStr">
        <is>
          <t>EX-10</t>
        </is>
      </c>
      <c r="D28" s="11" t="inlineStr">
        <is>
          <t>Execution</t>
        </is>
      </c>
      <c r="E28" s="11" t="inlineStr">
        <is>
          <t>Execution analytics</t>
        </is>
      </c>
      <c r="F28" s="13" t="n">
        <v>0.3</v>
      </c>
      <c r="G28" s="11" t="inlineStr"/>
      <c r="H28" s="11" t="inlineStr">
        <is>
          <t>oms_order / oms_order_event / oms_execution / oms_fill audit tables and APIs</t>
        </is>
      </c>
      <c r="I28" s="11" t="inlineStr">
        <is>
          <t>Fill-rate / slippage / rejection analytics</t>
        </is>
      </c>
      <c r="J28" s="11" t="inlineStr">
        <is>
          <t>Development</t>
        </is>
      </c>
    </row>
    <row r="29">
      <c r="A29" s="11" t="n">
        <v>202</v>
      </c>
      <c r="B29" s="11" t="inlineStr">
        <is>
          <t>Execution</t>
        </is>
      </c>
      <c r="C29" s="11" t="inlineStr">
        <is>
          <t>BR-02</t>
        </is>
      </c>
      <c r="D29" s="11" t="inlineStr">
        <is>
          <t>Broker Integration</t>
        </is>
      </c>
      <c r="E29" s="11" t="inlineStr">
        <is>
          <t>Zerodha/Kite</t>
        </is>
      </c>
      <c r="F29" s="13" t="n">
        <v>0.5</v>
      </c>
      <c r="G29" s="11" t="inlineStr"/>
      <c r="H29" s="11" t="inlineStr">
        <is>
          <t>Holdings sync only</t>
        </is>
      </c>
      <c r="I29" s="11" t="inlineStr">
        <is>
          <t>Token refresh; orders if wanted</t>
        </is>
      </c>
      <c r="J29" s="11" t="inlineStr">
        <is>
          <t>Development</t>
        </is>
      </c>
    </row>
    <row r="30">
      <c r="A30" s="11" t="n">
        <v>203</v>
      </c>
      <c r="B30" s="11" t="inlineStr">
        <is>
          <t>Execution</t>
        </is>
      </c>
      <c r="C30" s="11" t="inlineStr">
        <is>
          <t>MON-04</t>
        </is>
      </c>
      <c r="D30" s="11" t="inlineStr">
        <is>
          <t>Monitoring</t>
        </is>
      </c>
      <c r="E30" s="11" t="inlineStr">
        <is>
          <t>Live strategy/P&amp;L monitoring</t>
        </is>
      </c>
      <c r="F30" s="13" t="n">
        <v>0.25</v>
      </c>
      <c r="G30" s="11" t="inlineStr"/>
      <c r="H30" s="11" t="inlineStr">
        <is>
          <t>Dashboard partial</t>
        </is>
      </c>
      <c r="I30" s="11" t="inlineStr">
        <is>
          <t>Live P&amp;L panel</t>
        </is>
      </c>
      <c r="J30" s="11" t="inlineStr">
        <is>
          <t>Development</t>
        </is>
      </c>
    </row>
    <row r="31">
      <c r="A31" s="11" t="n">
        <v>204</v>
      </c>
      <c r="B31" s="11" t="inlineStr">
        <is>
          <t>Execution</t>
        </is>
      </c>
      <c r="C31" s="11" t="inlineStr">
        <is>
          <t>SEC-03</t>
        </is>
      </c>
      <c r="D31" s="11" t="inlineStr">
        <is>
          <t>Security</t>
        </is>
      </c>
      <c r="E31" s="11" t="inlineStr">
        <is>
          <t>Audit logging</t>
        </is>
      </c>
      <c r="F31" s="13" t="n">
        <v>0.85</v>
      </c>
      <c r="G31" s="11" t="inlineStr"/>
      <c r="H31" s="11" t="inlineStr">
        <is>
          <t>enterprise_audit hash chain (prev_hash/row_hash, verify_chain) + append-only triggers on enterprise_audit and oms_order_event; mutating API requests audited even with the enterprise layer off; config changes and secret rotations audited</t>
        </is>
      </c>
      <c r="I31" s="11" t="inlineStr">
        <is>
          <t>Export / retention; off-box audit copy</t>
        </is>
      </c>
      <c r="J31" s="11" t="inlineStr">
        <is>
          <t>Development</t>
        </is>
      </c>
    </row>
    <row r="32">
      <c r="A32" s="11" t="n">
        <v>207</v>
      </c>
      <c r="B32" s="11" t="inlineStr">
        <is>
          <t>Advanced Quant</t>
        </is>
      </c>
      <c r="C32" s="11" t="inlineStr">
        <is>
          <t>AF-07</t>
        </is>
      </c>
      <c r="D32" s="11" t="inlineStr">
        <is>
          <t>Alpha/Factor Engine</t>
        </is>
      </c>
      <c r="E32" s="11" t="inlineStr">
        <is>
          <t>Microstructure factors</t>
        </is>
      </c>
      <c r="F32" s="13" t="n">
        <v>0.25</v>
      </c>
      <c r="G32" s="11" t="inlineStr"/>
      <c r="H32" s="11" t="inlineStr">
        <is>
          <t>Intraday features from live_quotes; tick/depth pending</t>
        </is>
      </c>
      <c r="I32" s="11" t="inlineStr">
        <is>
          <t>Tick / depth feed</t>
        </is>
      </c>
      <c r="J32" s="11" t="inlineStr">
        <is>
          <t>Development</t>
        </is>
      </c>
    </row>
    <row r="33">
      <c r="A33" s="11" t="n">
        <v>209</v>
      </c>
      <c r="B33" s="11" t="inlineStr">
        <is>
          <t>Advanced Quant</t>
        </is>
      </c>
      <c r="C33" s="11" t="inlineStr">
        <is>
          <t>QR-10</t>
        </is>
      </c>
      <c r="D33" s="11" t="inlineStr">
        <is>
          <t>Quant Research</t>
        </is>
      </c>
      <c r="E33" s="11" t="inlineStr">
        <is>
          <t>Volatility strategies</t>
        </is>
      </c>
      <c r="F33" s="13" t="n">
        <v>0.4</v>
      </c>
      <c r="G33" s="11" t="inlineStr"/>
      <c r="H33" s="11" t="inlineStr">
        <is>
          <t>Volatility estimators and regime; IV needs options data</t>
        </is>
      </c>
      <c r="I33" s="11" t="inlineStr">
        <is>
          <t>Options data</t>
        </is>
      </c>
      <c r="J33" s="11" t="inlineStr">
        <is>
          <t>Development</t>
        </is>
      </c>
    </row>
    <row r="34">
      <c r="A34" s="11" t="n">
        <v>210</v>
      </c>
      <c r="B34" s="11" t="inlineStr">
        <is>
          <t>Advanced Quant</t>
        </is>
      </c>
      <c r="C34" s="11" t="inlineStr">
        <is>
          <t>QR-05</t>
        </is>
      </c>
      <c r="D34" s="11" t="inlineStr">
        <is>
          <t>Quant Research</t>
        </is>
      </c>
      <c r="E34" s="11" t="inlineStr">
        <is>
          <t>Stat-arb / pairs / cointegration</t>
        </is>
      </c>
      <c r="F34" s="13" t="n">
        <v>0.7</v>
      </c>
      <c r="G34" s="11" t="inlineStr"/>
      <c r="H34" s="11" t="inlineStr">
        <is>
          <t>Pairs registry, spreads, cointegration screen, W3 pairs kind (short leg not executable)</t>
        </is>
      </c>
      <c r="I34" s="11" t="inlineStr">
        <is>
          <t>Shortable instrument</t>
        </is>
      </c>
      <c r="J34" s="11" t="inlineStr">
        <is>
          <t>Development</t>
        </is>
      </c>
    </row>
    <row r="35">
      <c r="A35" s="11" t="n">
        <v>211</v>
      </c>
      <c r="B35" s="11" t="inlineStr">
        <is>
          <t>Advanced Quant</t>
        </is>
      </c>
      <c r="C35" s="11" t="inlineStr">
        <is>
          <t>QR-06</t>
        </is>
      </c>
      <c r="D35" s="11" t="inlineStr">
        <is>
          <t>Quant Research</t>
        </is>
      </c>
      <c r="E35" s="11" t="inlineStr">
        <is>
          <t>Cross-sectional / market-neutral</t>
        </is>
      </c>
      <c r="F35" s="13" t="n">
        <v>0.65</v>
      </c>
      <c r="G35" s="11" t="inlineStr"/>
      <c r="H35" s="11" t="inlineStr">
        <is>
          <t>Cross-sectional ranking + portfolio kind with dollar/beta/sector neutrality (shorts not executable)</t>
        </is>
      </c>
      <c r="I35" s="11" t="inlineStr">
        <is>
          <t>Shortable instrument</t>
        </is>
      </c>
      <c r="J35" s="11" t="inlineStr">
        <is>
          <t>Development</t>
        </is>
      </c>
    </row>
    <row r="36">
      <c r="A36" s="11" t="n">
        <v>212</v>
      </c>
      <c r="B36" s="11" t="inlineStr">
        <is>
          <t>Advanced Quant</t>
        </is>
      </c>
      <c r="C36" s="11" t="inlineStr">
        <is>
          <t>QR-09</t>
        </is>
      </c>
      <c r="D36" s="11" t="inlineStr">
        <is>
          <t>Quant Research</t>
        </is>
      </c>
      <c r="E36" s="11" t="inlineStr">
        <is>
          <t>Event-driven research</t>
        </is>
      </c>
      <c r="F36" s="13" t="n">
        <v>0.45</v>
      </c>
      <c r="G36" s="11" t="inlineStr"/>
      <c r="H36" s="11" t="inlineStr">
        <is>
          <t>market_event from corporate_actions + bulk_deals; ev_* strategy features; typed interface for pending sources</t>
        </is>
      </c>
      <c r="I36" s="11" t="inlineStr">
        <is>
          <t>Earnings/dividend/macro sources</t>
        </is>
      </c>
      <c r="J36" s="11" t="inlineStr">
        <is>
          <t>Development</t>
        </is>
      </c>
    </row>
    <row r="37">
      <c r="A37" s="11" t="n">
        <v>213</v>
      </c>
      <c r="B37" s="11" t="inlineStr">
        <is>
          <t>Advanced Quant</t>
        </is>
      </c>
      <c r="C37" s="11" t="inlineStr">
        <is>
          <t>AF-05</t>
        </is>
      </c>
      <c r="D37" s="11" t="inlineStr">
        <is>
          <t>Alpha/Factor Engine</t>
        </is>
      </c>
      <c r="E37" s="11" t="inlineStr">
        <is>
          <t>Value/quality composites</t>
        </is>
      </c>
      <c r="F37" s="13" t="n">
        <v>0.5</v>
      </c>
      <c r="G37" s="11" t="inlineStr"/>
      <c r="H37" s="11" t="inlineStr">
        <is>
          <t>Value/quality/growth factors + vqm / vqmg composites (fundamental_data empty)</t>
        </is>
      </c>
      <c r="I37" s="11" t="inlineStr">
        <is>
          <t>Fundamentals ingestion</t>
        </is>
      </c>
      <c r="J37" s="11" t="inlineStr">
        <is>
          <t>Development</t>
        </is>
      </c>
    </row>
    <row r="38">
      <c r="A38" s="11" t="n">
        <v>225</v>
      </c>
      <c r="B38" s="11" t="inlineStr">
        <is>
          <t>Production Hardening</t>
        </is>
      </c>
      <c r="C38" s="11" t="inlineStr">
        <is>
          <t>OPS-06</t>
        </is>
      </c>
      <c r="D38" s="11" t="inlineStr">
        <is>
          <t>Deployment/Ops</t>
        </is>
      </c>
      <c r="E38" s="11" t="inlineStr">
        <is>
          <t>DR / backup automation</t>
        </is>
      </c>
      <c r="F38" s="13" t="n">
        <v>0.6</v>
      </c>
      <c r="G38" s="11" t="inlineStr"/>
      <c r="H38" s="11" t="inlineStr">
        <is>
          <t>Verified daily backups + retention; DR runbook with RPO 24 h / RTO ~10 min; pre-release backup procedure</t>
        </is>
      </c>
      <c r="I38" s="11" t="inlineStr">
        <is>
          <t>Off-site backup target; scheduled restore drill; backup encryption</t>
        </is>
      </c>
      <c r="J38" s="11" t="inlineStr">
        <is>
          <t>Development</t>
        </is>
      </c>
    </row>
    <row r="39">
      <c r="A39" s="11" t="n">
        <v>226</v>
      </c>
      <c r="B39" s="11" t="inlineStr">
        <is>
          <t>Production Hardening</t>
        </is>
      </c>
      <c r="C39" s="11" t="inlineStr">
        <is>
          <t>SEC-04</t>
        </is>
      </c>
      <c r="D39" s="11" t="inlineStr">
        <is>
          <t>Security</t>
        </is>
      </c>
      <c r="E39" s="11" t="inlineStr">
        <is>
          <t>Encryption</t>
        </is>
      </c>
      <c r="F39" s="13" t="n">
        <v>0.5</v>
      </c>
      <c r="G39" s="11" t="inlineStr"/>
      <c r="H39" s="11" t="inlineStr">
        <is>
          <t>AES-256-GCM field encryption (ops/crypto.py, key from ATIP_ENCRYPTION_KEY, AAD-bound, no plaintext fallback); used for MFA secrets; sensitive-field classification; TLS 1.3 reverse-proxy architecture documented (ATIP stays on 127.0.0.1)</t>
        </is>
      </c>
      <c r="I39" s="11" t="inlineStr">
        <is>
          <t>Encrypt broker credentials (ENT-06); key rotation re-encryption; TLS only with ENT-07</t>
        </is>
      </c>
      <c r="J39" s="11" t="inlineStr">
        <is>
          <t>Development</t>
        </is>
      </c>
    </row>
    <row r="40">
      <c r="A40" s="11" t="n">
        <v>227</v>
      </c>
      <c r="B40" s="11" t="inlineStr">
        <is>
          <t>Production Hardening</t>
        </is>
      </c>
      <c r="C40" s="11" t="inlineStr">
        <is>
          <t>API-05</t>
        </is>
      </c>
      <c r="D40" s="11" t="inlineStr">
        <is>
          <t>APIs</t>
        </is>
      </c>
      <c r="E40" s="11" t="inlineStr">
        <is>
          <t>API contracts/docs</t>
        </is>
      </c>
      <c r="F40" s="13" t="n">
        <v>0.4</v>
      </c>
      <c r="G40" s="11" t="inlineStr"/>
      <c r="H40" s="11" t="inlineStr">
        <is>
          <t>Error envelope + codes, versioning, pagination, idempotency and security headers documented</t>
        </is>
      </c>
      <c r="I40" s="11" t="inlineStr">
        <is>
          <t>Generated API reference</t>
        </is>
      </c>
      <c r="J40" s="11" t="inlineStr">
        <is>
          <t>Development</t>
        </is>
      </c>
    </row>
    <row r="41">
      <c r="A41" s="11" t="n">
        <v>229</v>
      </c>
      <c r="B41" s="11" t="inlineStr">
        <is>
          <t>Production Hardening</t>
        </is>
      </c>
      <c r="C41" s="11" t="inlineStr">
        <is>
          <t>OPS-05</t>
        </is>
      </c>
      <c r="D41" s="11" t="inlineStr">
        <is>
          <t>Deployment/Ops</t>
        </is>
      </c>
      <c r="E41" s="11" t="inlineStr">
        <is>
          <t>Documentation set</t>
        </is>
      </c>
      <c r="F41" s="13" t="n">
        <v>0.6</v>
      </c>
      <c r="G41" s="11" t="inlineStr"/>
      <c r="H41" s="11" t="inlineStr">
        <is>
          <t>W8 set: production architecture, security, observability, DR, backup/restore, deployment, rollback, operations runbook, production configuration</t>
        </is>
      </c>
      <c r="I41" s="11" t="inlineStr">
        <is>
          <t>User guide; API reference</t>
        </is>
      </c>
      <c r="J41" s="11" t="inlineStr">
        <is>
          <t>Development</t>
        </is>
      </c>
    </row>
    <row r="42">
      <c r="A42" s="11" t="n">
        <v>230</v>
      </c>
      <c r="B42" s="11" t="inlineStr">
        <is>
          <t>Enterprise SaaS (final objective)</t>
        </is>
      </c>
      <c r="C42" s="11" t="inlineStr">
        <is>
          <t>ENT-01</t>
        </is>
      </c>
      <c r="D42" s="11" t="inlineStr">
        <is>
          <t>Enterprise Platform</t>
        </is>
      </c>
      <c r="E42" s="11" t="inlineStr">
        <is>
          <t>Multi-tenant architecture</t>
        </is>
      </c>
      <c r="F42" s="13" t="n">
        <v>0.6</v>
      </c>
      <c r="G42" s="11" t="inlineStr"/>
      <c r="H42" s="11" t="inlineStr">
        <is>
          <t>Tenants + lifecycle + limits; tenant_id on tenant-owned W3-W6 tables; middleware isolation (single-resource 404, list filtering, create stamping); single shared paper book</t>
        </is>
      </c>
      <c r="I42" s="11" t="inlineStr">
        <is>
          <t>Per-tenant paper books / broker accounts; SQL-level scoping</t>
        </is>
      </c>
      <c r="J42" s="11" t="inlineStr">
        <is>
          <t>Development</t>
        </is>
      </c>
    </row>
    <row r="43">
      <c r="A43" s="11" t="n">
        <v>233</v>
      </c>
      <c r="B43" s="11" t="inlineStr">
        <is>
          <t>Enterprise SaaS (final objective)</t>
        </is>
      </c>
      <c r="C43" s="11" t="inlineStr">
        <is>
          <t>SEC-02</t>
        </is>
      </c>
      <c r="D43" s="11" t="inlineStr">
        <is>
          <t>Security</t>
        </is>
      </c>
      <c r="E43" s="11" t="inlineStr">
        <is>
          <t>Users / RBAC / MFA</t>
        </is>
      </c>
      <c r="F43" s="13" t="n">
        <v>0.85</v>
      </c>
      <c r="G43" s="11" t="inlineStr"/>
      <c r="H43" s="11" t="inlineStr">
        <is>
          <t>Users + 8 roles + 27 permissions, per-tenant roles, route-&gt;permission middleware; W8 TOTP MFA (enroll/confirm/disable, admin reset, login otp, encrypted secret, replay-refusing)</t>
        </is>
      </c>
      <c r="I43" s="11" t="inlineStr">
        <is>
          <t>WebAuthn / recovery codes</t>
        </is>
      </c>
      <c r="J43" s="11" t="inlineStr">
        <is>
          <t>Development</t>
        </is>
      </c>
    </row>
    <row r="44">
      <c r="A44" s="11" t="n">
        <v>235</v>
      </c>
      <c r="B44" s="11" t="inlineStr">
        <is>
          <t>Enterprise SaaS (final objective)</t>
        </is>
      </c>
      <c r="C44" s="11" t="inlineStr">
        <is>
          <t>ENT-02</t>
        </is>
      </c>
      <c r="D44" s="11" t="inlineStr">
        <is>
          <t>User Management</t>
        </is>
      </c>
      <c r="E44" s="11" t="inlineStr">
        <is>
          <t>User registration/onboarding</t>
        </is>
      </c>
      <c r="F44" s="13" t="n">
        <v>0.7</v>
      </c>
      <c r="G44" s="11" t="inlineStr"/>
      <c r="H44" s="11" t="inlineStr">
        <is>
          <t>Admin-created users (must change password), optional self-registration (PENDING + own FREE-trial tenant), activation, reset tokens; no e-mail</t>
        </is>
      </c>
      <c r="I44" s="11" t="inlineStr">
        <is>
          <t>E-mail verification</t>
        </is>
      </c>
      <c r="J44" s="11" t="inlineStr">
        <is>
          <t>Development</t>
        </is>
      </c>
    </row>
    <row r="45">
      <c r="A45" s="11" t="n">
        <v>236</v>
      </c>
      <c r="B45" s="11" t="inlineStr">
        <is>
          <t>Enterprise SaaS (final objective)</t>
        </is>
      </c>
      <c r="C45" s="11" t="inlineStr">
        <is>
          <t>ENT-03</t>
        </is>
      </c>
      <c r="D45" s="11" t="inlineStr">
        <is>
          <t>User Management</t>
        </is>
      </c>
      <c r="E45" s="11" t="inlineStr">
        <is>
          <t>User profile + risk profile</t>
        </is>
      </c>
      <c r="F45" s="13" t="n">
        <v>0.65</v>
      </c>
      <c r="G45" s="11" t="inlineStr"/>
      <c r="H45" s="11" t="inlineStr">
        <is>
          <t>Profile + preferences; tenant/user trading profiles (trading enabled, modes, brokers, assets, strategies, capital, order value) — tighten W4 only</t>
        </is>
      </c>
      <c r="I45" s="11" t="inlineStr">
        <is>
          <t>Per-user capital accounting</t>
        </is>
      </c>
      <c r="J45" s="11" t="inlineStr">
        <is>
          <t>Development</t>
        </is>
      </c>
    </row>
    <row r="46">
      <c r="A46" s="11" t="n">
        <v>241</v>
      </c>
      <c r="B46" s="11" t="inlineStr">
        <is>
          <t>Enterprise SaaS (final objective)</t>
        </is>
      </c>
      <c r="C46" s="11" t="inlineStr">
        <is>
          <t>ENT-08</t>
        </is>
      </c>
      <c r="D46" s="11" t="inlineStr">
        <is>
          <t>Channels</t>
        </is>
      </c>
      <c r="E46" s="11" t="inlineStr">
        <is>
          <t>Multi-user web app</t>
        </is>
      </c>
      <c r="F46" s="13" t="n">
        <v>0.4</v>
      </c>
      <c r="G46" s="11" t="inlineStr"/>
      <c r="H46" s="11" t="inlineStr">
        <is>
          <t>Multi-user sign-in (/login, /account, /admin) on the existing dashboard; still local-only</t>
        </is>
      </c>
      <c r="I46" s="11" t="inlineStr">
        <is>
          <t>Blocked on ENT-07 for any exposure</t>
        </is>
      </c>
      <c r="J46" s="11" t="inlineStr">
        <is>
          <t>Development</t>
        </is>
      </c>
    </row>
    <row r="47">
      <c r="A47" s="11" t="n">
        <v>242</v>
      </c>
      <c r="B47" s="11" t="inlineStr">
        <is>
          <t>Enterprise SaaS (final objective)</t>
        </is>
      </c>
      <c r="C47" s="11" t="inlineStr">
        <is>
          <t>ENT-04</t>
        </is>
      </c>
      <c r="D47" s="11" t="inlineStr">
        <is>
          <t>User Management</t>
        </is>
      </c>
      <c r="E47" s="11" t="inlineStr">
        <is>
          <t>Subscriptions &amp; billing</t>
        </is>
      </c>
      <c r="F47" s="13" t="n">
        <v>0.45</v>
      </c>
      <c r="G47" s="11" t="inlineStr"/>
      <c r="H47" s="11" t="inlineStr">
        <is>
          <t>Plans (limits/features, no invented prices), subscriptions, usage metering, DRAFT invoices; no payment gateway</t>
        </is>
      </c>
      <c r="I47" s="11" t="inlineStr">
        <is>
          <t>Payment gateway (owner decision)</t>
        </is>
      </c>
      <c r="J47" s="11" t="inlineStr">
        <is>
          <t>Owner: Payment gateway</t>
        </is>
      </c>
    </row>
    <row r="48">
      <c r="A48" s="11" t="n">
        <v>243</v>
      </c>
      <c r="B48" s="11" t="inlineStr">
        <is>
          <t>Enterprise SaaS (final objective)</t>
        </is>
      </c>
      <c r="C48" s="11" t="inlineStr">
        <is>
          <t>ENT-18</t>
        </is>
      </c>
      <c r="D48" s="11" t="inlineStr">
        <is>
          <t>User Management</t>
        </is>
      </c>
      <c r="E48" s="11" t="inlineStr">
        <is>
          <t>Multi-device login</t>
        </is>
      </c>
      <c r="F48" s="13" t="n">
        <v>0.4</v>
      </c>
      <c r="G48" s="11" t="inlineStr"/>
      <c r="H48" s="11" t="inlineStr">
        <is>
          <t>Multiple concurrent sessions per user with IP/user agent; revoke all</t>
        </is>
      </c>
      <c r="I48" s="11" t="inlineStr">
        <is>
          <t>Device management UI</t>
        </is>
      </c>
      <c r="J48" s="11" t="inlineStr">
        <is>
          <t>Development</t>
        </is>
      </c>
    </row>
    <row r="49">
      <c r="A49" s="11" t="n">
        <v>245</v>
      </c>
      <c r="B49" s="11" t="inlineStr">
        <is>
          <t>Enterprise SaaS (final objective)</t>
        </is>
      </c>
      <c r="C49" s="11" t="inlineStr">
        <is>
          <t>ENT-11</t>
        </is>
      </c>
      <c r="D49" s="11" t="inlineStr">
        <is>
          <t>Channels</t>
        </is>
      </c>
      <c r="E49" s="11" t="inlineStr">
        <is>
          <t>Per-user price &amp; AI alerts</t>
        </is>
      </c>
      <c r="F49" s="13" t="n">
        <v>0.55</v>
      </c>
      <c r="G49" s="11" t="inlineStr"/>
      <c r="H49" s="11" t="inlineStr">
        <is>
          <t>Per-user alert rules on any W3/W6 feature, evaluated post-market into notifications; AI alerts via ml_* features</t>
        </is>
      </c>
      <c r="I49" s="11" t="inlineStr">
        <is>
          <t>Intraday evaluation</t>
        </is>
      </c>
      <c r="J49" s="11" t="inlineStr">
        <is>
          <t>Development</t>
        </is>
      </c>
    </row>
    <row r="50">
      <c r="A50" s="11" t="n">
        <v>246</v>
      </c>
      <c r="B50" s="11" t="inlineStr">
        <is>
          <t>Enterprise SaaS (final objective)</t>
        </is>
      </c>
      <c r="C50" s="11" t="inlineStr">
        <is>
          <t>ENT-10</t>
        </is>
      </c>
      <c r="D50" s="11" t="inlineStr">
        <is>
          <t>Channels</t>
        </is>
      </c>
      <c r="E50" s="11" t="inlineStr">
        <is>
          <t>Notification channels</t>
        </is>
      </c>
      <c r="F50" s="13" t="n">
        <v>0.45</v>
      </c>
      <c r="G50" s="11" t="inlineStr"/>
      <c r="H50" s="11" t="inlineStr">
        <is>
          <t>In-app inbox + preferences; Telegram (owner bot, default tenant only); no e-mail/SMS/push</t>
        </is>
      </c>
      <c r="I50" s="11" t="inlineStr">
        <is>
          <t>E-mail / push channels</t>
        </is>
      </c>
      <c r="J50" s="11" t="inlineStr">
        <is>
          <t>Development</t>
        </is>
      </c>
    </row>
    <row r="51">
      <c r="A51" s="11" t="n">
        <v>248</v>
      </c>
      <c r="B51" s="11" t="inlineStr">
        <is>
          <t>Enterprise SaaS (final objective)</t>
        </is>
      </c>
      <c r="C51" s="11" t="inlineStr">
        <is>
          <t>API-03</t>
        </is>
      </c>
      <c r="D51" s="11" t="inlineStr">
        <is>
          <t>APIs</t>
        </is>
      </c>
      <c r="E51" s="11" t="inlineStr">
        <is>
          <t>Versioned public API</t>
        </is>
      </c>
      <c r="F51" s="13" t="n">
        <v>0.55</v>
      </c>
      <c r="G51" s="11" t="inlineStr"/>
      <c r="H51" s="11" t="inlineStr">
        <is>
          <t>API keys with scopes; W8 /api/v1/* alias of the current API (API-Version header), pagination/sort/filter on v1 lists, standard error envelope, request ids</t>
        </is>
      </c>
      <c r="I51" s="11" t="inlineStr">
        <is>
          <t>Per-route v1 contract (OpenAPI) and deprecation policy</t>
        </is>
      </c>
      <c r="J51" s="11" t="inlineStr">
        <is>
          <t>Development</t>
        </is>
      </c>
    </row>
    <row r="52">
      <c r="A52" s="11" t="n">
        <v>249</v>
      </c>
      <c r="B52" s="11" t="inlineStr">
        <is>
          <t>Enterprise SaaS (final objective)</t>
        </is>
      </c>
      <c r="C52" s="11" t="inlineStr">
        <is>
          <t>API-04</t>
        </is>
      </c>
      <c r="D52" s="11" t="inlineStr">
        <is>
          <t>APIs</t>
        </is>
      </c>
      <c r="E52" s="11" t="inlineStr">
        <is>
          <t>Webhooks</t>
        </is>
      </c>
      <c r="F52" s="13" t="n">
        <v>0.6</v>
      </c>
      <c r="G52" s="11" t="inlineStr"/>
      <c r="H52" s="11" t="inlineStr">
        <is>
          <t>Inbound POST /api/webhooks/{source}: HMAC-SHA256 signature, 300 s replay window, event-id dedupe; outbound signed delivery with backoff retry, DEAD letter, per-host circuit breaker</t>
        </is>
      </c>
      <c r="I52" s="11" t="inlineStr">
        <is>
          <t>Business consumers (billing / broker postbacks); endpoint admin UI</t>
        </is>
      </c>
      <c r="J52" s="11" t="inlineStr">
        <is>
          <t>Development</t>
        </is>
      </c>
    </row>
    <row r="53">
      <c r="A53" s="11" t="n">
        <v>253</v>
      </c>
      <c r="B53" s="11" t="inlineStr">
        <is>
          <t>Enterprise SaaS (final objective)</t>
        </is>
      </c>
      <c r="C53" s="11" t="inlineStr">
        <is>
          <t>ENT-12</t>
        </is>
      </c>
      <c r="D53" s="11" t="inlineStr">
        <is>
          <t>Reporting</t>
        </is>
      </c>
      <c r="E53" s="11" t="inlineStr">
        <is>
          <t>Reports</t>
        </is>
      </c>
      <c r="F53" s="13" t="n">
        <v>0.3</v>
      </c>
      <c r="G53" s="11" t="inlineStr"/>
      <c r="H53" s="11" t="inlineStr">
        <is>
          <t>Saved report definitions (tenant-owned); rendering reuses existing pages/APIs</t>
        </is>
      </c>
      <c r="I53" s="11" t="inlineStr">
        <is>
          <t>Report rendering / export</t>
        </is>
      </c>
      <c r="J53" s="11" t="inlineStr">
        <is>
          <t>Development</t>
        </is>
      </c>
    </row>
    <row r="54">
      <c r="A54" s="11" t="n">
        <v>254</v>
      </c>
      <c r="B54" s="11" t="inlineStr">
        <is>
          <t>Enterprise SaaS (final objective)</t>
        </is>
      </c>
      <c r="C54" s="11" t="inlineStr">
        <is>
          <t>ENT-13</t>
        </is>
      </c>
      <c r="D54" s="11" t="inlineStr">
        <is>
          <t>Administration</t>
        </is>
      </c>
      <c r="E54" s="11" t="inlineStr">
        <is>
          <t>Administration console</t>
        </is>
      </c>
      <c r="F54" s="13" t="n">
        <v>0.6</v>
      </c>
      <c r="G54" s="11" t="inlineStr"/>
      <c r="H54" s="11" t="inlineStr">
        <is>
          <t>/admin: users, tenants, roles, plans, audit; admin API</t>
        </is>
      </c>
      <c r="I54" s="11" t="inlineStr">
        <is>
          <t>Richer console</t>
        </is>
      </c>
      <c r="J54" s="11" t="inlineStr">
        <is>
          <t>Development</t>
        </is>
      </c>
    </row>
    <row r="55">
      <c r="A55" s="11" t="n">
        <v>258</v>
      </c>
      <c r="B55" s="11" t="inlineStr">
        <is>
          <t>Enterprise SaaS (final objective)</t>
        </is>
      </c>
      <c r="C55" s="11" t="inlineStr">
        <is>
          <t>ENT-16</t>
        </is>
      </c>
      <c r="D55" s="11" t="inlineStr">
        <is>
          <t>Deployment/Ops</t>
        </is>
      </c>
      <c r="E55" s="11" t="inlineStr">
        <is>
          <t>Scalability, HA &amp; observability</t>
        </is>
      </c>
      <c r="F55" s="13" t="n">
        <v>0.35</v>
      </c>
      <c r="G55" s="11" t="inlineStr"/>
      <c r="H55" s="11" t="inlineStr">
        <is>
          <t>Observability: JSON logs with request/correlation ids and secret masking, Prometheus-format metrics, health endpoints, monitoring rules; scalability path documented</t>
        </is>
      </c>
      <c r="I55" s="11" t="inlineStr">
        <is>
          <t>HA / horizontal scale (needs DBS-05 Postgres)</t>
        </is>
      </c>
      <c r="J55" s="11" t="inlineStr">
        <is>
          <t>Development</t>
        </is>
      </c>
    </row>
    <row r="56">
      <c r="A56" s="11" t="n">
        <v>262</v>
      </c>
      <c r="B56" s="11" t="inlineStr">
        <is>
          <t>Production hardening</t>
        </is>
      </c>
      <c r="C56" s="11" t="inlineStr">
        <is>
          <t>OPS-10</t>
        </is>
      </c>
      <c r="D56" s="11" t="inlineStr">
        <is>
          <t>Deployment/Ops</t>
        </is>
      </c>
      <c r="E56" s="11" t="inlineStr">
        <is>
          <t>Resilience + idempotency</t>
        </is>
      </c>
      <c r="F56" s="13" t="n">
        <v>0.6</v>
      </c>
      <c r="G56" s="11" t="inlineStr"/>
      <c r="H56" s="11" t="inlineStr">
        <is>
          <t>ops/resilience.py primitives (orders marked non-idempotent: never retried); Idempotency-Key on mutating API (orders from /trading keyed per decision/order)</t>
        </is>
      </c>
      <c r="I56" s="11" t="inlineStr">
        <is>
          <t>Wrap existing data-source calls with breakers/retry</t>
        </is>
      </c>
      <c r="J56" s="11" t="inlineStr">
        <is>
          <t>Development</t>
        </is>
      </c>
    </row>
    <row r="57">
      <c r="A57" s="11" t="n">
        <v>265</v>
      </c>
      <c r="B57" s="11" t="inlineStr">
        <is>
          <t>Production hardening</t>
        </is>
      </c>
      <c r="C57" s="11" t="inlineStr">
        <is>
          <t>OPS-11</t>
        </is>
      </c>
      <c r="D57" s="11" t="inlineStr">
        <is>
          <t>Deployment/Ops</t>
        </is>
      </c>
      <c r="E57" s="11" t="inlineStr">
        <is>
          <t>Release management &amp; deployment</t>
        </is>
      </c>
      <c r="F57" s="13" t="n">
        <v>0.8</v>
      </c>
      <c r="G57" s="11" t="inlineStr"/>
      <c r="H57" s="11" t="inlineStr">
        <is>
          <t>Tag ATIP-W9-RC2; ops/release.py preflight/manifest/postcheck/record; deploy/deploy_release.ps1 + rollback_release.ps1 (dry-run default); requirements.lock.txt; release docs</t>
        </is>
      </c>
      <c r="I57" s="11" t="inlineStr">
        <is>
          <t>Authorized deployment + first executed rollback drill</t>
        </is>
      </c>
      <c r="J57" s="11" t="inlineStr">
        <is>
          <t>Development</t>
        </is>
      </c>
    </row>
    <row r="58">
      <c r="A58" s="11" t="n">
        <v>275</v>
      </c>
      <c r="B58" s="11" t="inlineStr">
        <is>
          <t>Wealth track (Waves 11-20)</t>
        </is>
      </c>
      <c r="C58" s="11" t="inlineStr">
        <is>
          <t>QA-001</t>
        </is>
      </c>
      <c r="D58" s="11" t="inlineStr">
        <is>
          <t>Wealth</t>
        </is>
      </c>
      <c r="E58" s="11" t="inlineStr">
        <is>
          <t>Wealth QA / security / performance</t>
        </is>
      </c>
      <c r="F58" s="13" t="n">
        <v>0.6</v>
      </c>
      <c r="G58" s="11" t="inlineStr">
        <is>
          <t>W18</t>
        </is>
      </c>
      <c r="H58" s="11" t="inlineStr">
        <is>
          <t>W18: 70-test suite, security review (S1/S2 fixed), performance</t>
        </is>
      </c>
      <c r="I58" s="11" t="inlineStr">
        <is>
          <t>Independent testing (ChatGPT) + UAT; merge after authorization</t>
        </is>
      </c>
      <c r="J58" s="11" t="inlineStr">
        <is>
          <t>Development</t>
        </is>
      </c>
    </row>
    <row r="59">
      <c r="A59" s="11" t="n">
        <v>276</v>
      </c>
      <c r="B59" s="11" t="inlineStr">
        <is>
          <t>Wealth track (Waves 11-20)</t>
        </is>
      </c>
      <c r="C59" s="11" t="inlineStr">
        <is>
          <t>UAT-001</t>
        </is>
      </c>
      <c r="D59" s="11" t="inlineStr">
        <is>
          <t>Wealth</t>
        </is>
      </c>
      <c r="E59" s="11" t="inlineStr">
        <is>
          <t>Beta / UAT</t>
        </is>
      </c>
      <c r="F59" s="13" t="n">
        <v>0.6</v>
      </c>
      <c r="G59" s="11" t="inlineStr">
        <is>
          <t>W19</t>
        </is>
      </c>
      <c r="H59" s="11" t="inlineStr">
        <is>
          <t>W19: Personas, persona view, feedback, UAT plan</t>
        </is>
      </c>
      <c r="I59" s="11" t="inlineStr">
        <is>
          <t>Independent testing (ChatGPT) + UAT; merge after authorization</t>
        </is>
      </c>
      <c r="J59" s="11" t="inlineStr">
        <is>
          <t>Development</t>
        </is>
      </c>
    </row>
  </sheetData>
  <autoFilter ref="A1:J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6" customWidth="1" min="4" max="4"/>
    <col width="30" customWidth="1" min="5" max="5"/>
    <col width="10" customWidth="1" min="6" max="6"/>
    <col width="8" customWidth="1" min="7" max="7"/>
    <col width="55" customWidth="1" min="8" max="8"/>
    <col width="45" customWidth="1" min="9" max="9"/>
    <col width="30" customWidth="1" min="10" max="10"/>
  </cols>
  <sheetData>
    <row r="1">
      <c r="A1" s="3" t="inlineStr">
        <is>
          <t>Seq</t>
        </is>
      </c>
      <c r="B1" s="3" t="inlineStr">
        <is>
          <t>Phase Name</t>
        </is>
      </c>
      <c r="C1" s="3" t="inlineStr">
        <is>
          <t>ID</t>
        </is>
      </c>
      <c r="D1" s="3" t="inlineStr">
        <is>
          <t>Module</t>
        </is>
      </c>
      <c r="E1" s="3" t="inlineStr">
        <is>
          <t>Feature</t>
        </is>
      </c>
      <c r="F1" s="3" t="inlineStr">
        <is>
          <t>Completion %</t>
        </is>
      </c>
      <c r="G1" s="3" t="inlineStr">
        <is>
          <t>Wave</t>
        </is>
      </c>
      <c r="H1" s="3" t="inlineStr">
        <is>
          <t>Current Implementation</t>
        </is>
      </c>
      <c r="I1" s="3" t="inlineStr">
        <is>
          <t>Next Action / Missing Work</t>
        </is>
      </c>
      <c r="J1" s="3" t="inlineStr">
        <is>
          <t>Needs</t>
        </is>
      </c>
    </row>
    <row r="2">
      <c r="A2" s="11" t="n">
        <v>132</v>
      </c>
      <c r="B2" s="11" t="inlineStr">
        <is>
          <t>Quant Research (data, factors, backtesting)</t>
        </is>
      </c>
      <c r="C2" s="11" t="inlineStr">
        <is>
          <t>DP-08</t>
        </is>
      </c>
      <c r="D2" s="11" t="inlineStr">
        <is>
          <t>Data Platform</t>
        </is>
      </c>
      <c r="E2" s="11" t="inlineStr">
        <is>
          <t>Derivatives data</t>
        </is>
      </c>
      <c r="F2" s="13" t="n">
        <v>0</v>
      </c>
      <c r="G2" s="11" t="inlineStr"/>
      <c r="H2" s="11" t="inlineStr">
        <is>
          <t>None</t>
        </is>
      </c>
      <c r="I2" s="11" t="inlineStr">
        <is>
          <t>NSE F&amp;O bhavcopy + option chain store</t>
        </is>
      </c>
      <c r="J2" s="11" t="inlineStr">
        <is>
          <t>Owner: Choose a derivatives data source</t>
        </is>
      </c>
    </row>
    <row r="3">
      <c r="A3" s="11" t="n">
        <v>170</v>
      </c>
      <c r="B3" s="11" t="inlineStr">
        <is>
          <t>AI/ML</t>
        </is>
      </c>
      <c r="C3" s="11" t="inlineStr">
        <is>
          <t>NS-05</t>
        </is>
      </c>
      <c r="D3" s="11" t="inlineStr">
        <is>
          <t>News/Sentiment</t>
        </is>
      </c>
      <c r="E3" s="11" t="inlineStr">
        <is>
          <t>Novelty/decay/source weighting</t>
        </is>
      </c>
      <c r="F3" s="13" t="n">
        <v>0.05</v>
      </c>
      <c r="G3" s="11" t="inlineStr"/>
      <c r="H3" s="11" t="inlineStr">
        <is>
          <t>None</t>
        </is>
      </c>
      <c r="I3" s="11" t="inlineStr">
        <is>
          <t>Implement</t>
        </is>
      </c>
      <c r="J3" s="11" t="inlineStr">
        <is>
          <t>Development</t>
        </is>
      </c>
    </row>
    <row r="4">
      <c r="A4" s="11" t="n">
        <v>173</v>
      </c>
      <c r="B4" s="11" t="inlineStr">
        <is>
          <t>AI/ML</t>
        </is>
      </c>
      <c r="C4" s="11" t="inlineStr">
        <is>
          <t>NS-06</t>
        </is>
      </c>
      <c r="D4" s="11" t="inlineStr">
        <is>
          <t>News/Sentiment</t>
        </is>
      </c>
      <c r="E4" s="11" t="inlineStr">
        <is>
          <t>Earnings call / announcement NLP</t>
        </is>
      </c>
      <c r="F4" s="13" t="n">
        <v>0</v>
      </c>
      <c r="G4" s="11" t="inlineStr"/>
      <c r="H4" s="11" t="inlineStr">
        <is>
          <t>None</t>
        </is>
      </c>
      <c r="I4" s="11" t="inlineStr">
        <is>
          <t>Implement</t>
        </is>
      </c>
      <c r="J4" s="11" t="inlineStr">
        <is>
          <t>Development</t>
        </is>
      </c>
    </row>
    <row r="5">
      <c r="A5" s="11" t="n">
        <v>174</v>
      </c>
      <c r="B5" s="11" t="inlineStr">
        <is>
          <t>AI/ML</t>
        </is>
      </c>
      <c r="C5" s="11" t="inlineStr">
        <is>
          <t>ML-02</t>
        </is>
      </c>
      <c r="D5" s="11" t="inlineStr">
        <is>
          <t>AI/ML</t>
        </is>
      </c>
      <c r="E5" s="11" t="inlineStr">
        <is>
          <t>Deep learning</t>
        </is>
      </c>
      <c r="F5" s="13" t="n">
        <v>0</v>
      </c>
      <c r="G5" s="11" t="inlineStr"/>
      <c r="H5" s="11" t="inlineStr">
        <is>
          <t>None</t>
        </is>
      </c>
      <c r="I5" s="11" t="inlineStr">
        <is>
          <t>Only if validated benefit</t>
        </is>
      </c>
      <c r="J5" s="11" t="inlineStr">
        <is>
          <t>Development</t>
        </is>
      </c>
    </row>
    <row r="6">
      <c r="A6" s="11" t="n">
        <v>175</v>
      </c>
      <c r="B6" s="11" t="inlineStr">
        <is>
          <t>AI/ML</t>
        </is>
      </c>
      <c r="C6" s="11" t="inlineStr">
        <is>
          <t>ML-04</t>
        </is>
      </c>
      <c r="D6" s="11" t="inlineStr">
        <is>
          <t>AI/ML</t>
        </is>
      </c>
      <c r="E6" s="11" t="inlineStr">
        <is>
          <t>Reinforcement learning</t>
        </is>
      </c>
      <c r="F6" s="13" t="n">
        <v>0</v>
      </c>
      <c r="G6" s="11" t="inlineStr"/>
      <c r="H6" s="11" t="inlineStr">
        <is>
          <t>None</t>
        </is>
      </c>
      <c r="I6" s="11" t="inlineStr">
        <is>
          <t>Low priority</t>
        </is>
      </c>
      <c r="J6" s="11" t="inlineStr">
        <is>
          <t>Development</t>
        </is>
      </c>
    </row>
    <row r="7">
      <c r="A7" s="11" t="n">
        <v>205</v>
      </c>
      <c r="B7" s="11" t="inlineStr">
        <is>
          <t>Advanced Quant</t>
        </is>
      </c>
      <c r="C7" s="11" t="inlineStr">
        <is>
          <t>DP-04</t>
        </is>
      </c>
      <c r="D7" s="11" t="inlineStr">
        <is>
          <t>Data Platform</t>
        </is>
      </c>
      <c r="E7" s="11" t="inlineStr">
        <is>
          <t>Tick data</t>
        </is>
      </c>
      <c r="F7" s="13" t="n">
        <v>0.05</v>
      </c>
      <c r="G7" s="11" t="inlineStr"/>
      <c r="H7" s="11" t="inlineStr">
        <is>
          <t>live_ticks exists; 0 rows</t>
        </is>
      </c>
      <c r="I7" s="11" t="inlineStr">
        <is>
          <t>Tick ingestion + storage</t>
        </is>
      </c>
      <c r="J7" s="11" t="inlineStr">
        <is>
          <t>Development</t>
        </is>
      </c>
    </row>
    <row r="8">
      <c r="A8" s="11" t="n">
        <v>206</v>
      </c>
      <c r="B8" s="11" t="inlineStr">
        <is>
          <t>Advanced Quant</t>
        </is>
      </c>
      <c r="C8" s="11" t="inlineStr">
        <is>
          <t>DP-05</t>
        </is>
      </c>
      <c r="D8" s="11" t="inlineStr">
        <is>
          <t>Data Platform</t>
        </is>
      </c>
      <c r="E8" s="11" t="inlineStr">
        <is>
          <t>Order book / depth</t>
        </is>
      </c>
      <c r="F8" s="13" t="n">
        <v>0.05</v>
      </c>
      <c r="G8" s="11" t="inlineStr"/>
      <c r="H8" s="11" t="inlineStr">
        <is>
          <t>FULL feed type defined (CLI only)</t>
        </is>
      </c>
      <c r="I8" s="11" t="inlineStr">
        <is>
          <t>Depth capture + schema</t>
        </is>
      </c>
      <c r="J8" s="11" t="inlineStr">
        <is>
          <t>Development</t>
        </is>
      </c>
    </row>
    <row r="9">
      <c r="A9" s="11" t="n">
        <v>214</v>
      </c>
      <c r="B9" s="11" t="inlineStr">
        <is>
          <t>Advanced Quant</t>
        </is>
      </c>
      <c r="C9" s="11" t="inlineStr">
        <is>
          <t>EX-11</t>
        </is>
      </c>
      <c r="D9" s="11" t="inlineStr">
        <is>
          <t>Execution</t>
        </is>
      </c>
      <c r="E9" s="11" t="inlineStr">
        <is>
          <t>Execution algos</t>
        </is>
      </c>
      <c r="F9" s="13" t="n">
        <v>0</v>
      </c>
      <c r="G9" s="11" t="inlineStr"/>
      <c r="H9" s="11" t="inlineStr">
        <is>
          <t>None</t>
        </is>
      </c>
      <c r="I9" s="11" t="inlineStr">
        <is>
          <t>Implement</t>
        </is>
      </c>
      <c r="J9" s="11" t="inlineStr">
        <is>
          <t>Development</t>
        </is>
      </c>
    </row>
    <row r="10">
      <c r="A10" s="11" t="n">
        <v>215</v>
      </c>
      <c r="B10" s="11" t="inlineStr">
        <is>
          <t>Advanced Quant</t>
        </is>
      </c>
      <c r="C10" s="11" t="inlineStr">
        <is>
          <t>EX-12</t>
        </is>
      </c>
      <c r="D10" s="11" t="inlineStr">
        <is>
          <t>Execution</t>
        </is>
      </c>
      <c r="E10" s="11" t="inlineStr">
        <is>
          <t>Market impact model</t>
        </is>
      </c>
      <c r="F10" s="13" t="n">
        <v>0</v>
      </c>
      <c r="G10" s="11" t="inlineStr"/>
      <c r="H10" s="11" t="inlineStr">
        <is>
          <t>None</t>
        </is>
      </c>
      <c r="I10" s="11" t="inlineStr">
        <is>
          <t>Implement</t>
        </is>
      </c>
      <c r="J10" s="11" t="inlineStr">
        <is>
          <t>Development</t>
        </is>
      </c>
    </row>
    <row r="11">
      <c r="A11" s="11" t="n">
        <v>216</v>
      </c>
      <c r="B11" s="11" t="inlineStr">
        <is>
          <t>Advanced Quant</t>
        </is>
      </c>
      <c r="C11" s="11" t="inlineStr">
        <is>
          <t>EX-15</t>
        </is>
      </c>
      <c r="D11" s="11" t="inlineStr">
        <is>
          <t>Execution</t>
        </is>
      </c>
      <c r="E11" s="11" t="inlineStr">
        <is>
          <t>Latency telemetry</t>
        </is>
      </c>
      <c r="F11" s="13" t="n">
        <v>0</v>
      </c>
      <c r="G11" s="11" t="inlineStr"/>
      <c r="H11" s="11" t="inlineStr">
        <is>
          <t>None</t>
        </is>
      </c>
      <c r="I11" s="11" t="inlineStr">
        <is>
          <t>Instrument data and order paths</t>
        </is>
      </c>
      <c r="J11" s="11" t="inlineStr">
        <is>
          <t>Development</t>
        </is>
      </c>
    </row>
    <row r="12">
      <c r="A12" s="11" t="n">
        <v>217</v>
      </c>
      <c r="B12" s="11" t="inlineStr">
        <is>
          <t>Advanced Quant</t>
        </is>
      </c>
      <c r="C12" s="11" t="inlineStr">
        <is>
          <t>EX-16</t>
        </is>
      </c>
      <c r="D12" s="11" t="inlineStr">
        <is>
          <t>Execution</t>
        </is>
      </c>
      <c r="E12" s="11" t="inlineStr">
        <is>
          <t>Event-driven OMS</t>
        </is>
      </c>
      <c r="F12" s="13" t="n">
        <v>0.1</v>
      </c>
      <c r="G12" s="11" t="inlineStr"/>
      <c r="H12" s="11" t="inlineStr">
        <is>
          <t>Synchronous calls</t>
        </is>
      </c>
      <c r="I12" s="11" t="inlineStr">
        <is>
          <t>Implement</t>
        </is>
      </c>
      <c r="J12" s="11" t="inlineStr">
        <is>
          <t>Development</t>
        </is>
      </c>
    </row>
    <row r="13">
      <c r="A13" s="11" t="n">
        <v>218</v>
      </c>
      <c r="B13" s="11" t="inlineStr">
        <is>
          <t>Advanced Quant</t>
        </is>
      </c>
      <c r="C13" s="11" t="inlineStr">
        <is>
          <t>BT-17</t>
        </is>
      </c>
      <c r="D13" s="11" t="inlineStr">
        <is>
          <t>Backtesting</t>
        </is>
      </c>
      <c r="E13" s="11" t="inlineStr">
        <is>
          <t>Event-driven backtester</t>
        </is>
      </c>
      <c r="F13" s="13" t="n">
        <v>0</v>
      </c>
      <c r="G13" s="11" t="inlineStr"/>
      <c r="H13" s="11" t="inlineStr">
        <is>
          <t>Bar loops only</t>
        </is>
      </c>
      <c r="I13" s="11" t="inlineStr">
        <is>
          <t>Implement</t>
        </is>
      </c>
      <c r="J13" s="11" t="inlineStr">
        <is>
          <t>Development</t>
        </is>
      </c>
    </row>
    <row r="14">
      <c r="A14" s="11" t="n">
        <v>219</v>
      </c>
      <c r="B14" s="11" t="inlineStr">
        <is>
          <t>Advanced Quant</t>
        </is>
      </c>
      <c r="C14" s="11" t="inlineStr">
        <is>
          <t>DP-14</t>
        </is>
      </c>
      <c r="D14" s="11" t="inlineStr">
        <is>
          <t>Data Platform</t>
        </is>
      </c>
      <c r="E14" s="11" t="inlineStr">
        <is>
          <t>Macroeconomic data</t>
        </is>
      </c>
      <c r="F14" s="13" t="n">
        <v>0</v>
      </c>
      <c r="G14" s="11" t="inlineStr"/>
      <c r="H14" s="11" t="inlineStr">
        <is>
          <t>None</t>
        </is>
      </c>
      <c r="I14" s="11" t="inlineStr">
        <is>
          <t>Macro connectors + calendar</t>
        </is>
      </c>
      <c r="J14" s="11" t="inlineStr">
        <is>
          <t>Development</t>
        </is>
      </c>
    </row>
    <row r="15">
      <c r="A15" s="11" t="n">
        <v>220</v>
      </c>
      <c r="B15" s="11" t="inlineStr">
        <is>
          <t>Advanced Quant</t>
        </is>
      </c>
      <c r="C15" s="11" t="inlineStr">
        <is>
          <t>AD-01</t>
        </is>
      </c>
      <c r="D15" s="11" t="inlineStr">
        <is>
          <t>Alternative Data</t>
        </is>
      </c>
      <c r="E15" s="11" t="inlineStr">
        <is>
          <t>Alt-data framework</t>
        </is>
      </c>
      <c r="F15" s="13" t="n">
        <v>0</v>
      </c>
      <c r="G15" s="11" t="inlineStr"/>
      <c r="H15" s="11" t="inlineStr">
        <is>
          <t>None</t>
        </is>
      </c>
      <c r="I15" s="11" t="inlineStr">
        <is>
          <t>DataSource interface</t>
        </is>
      </c>
      <c r="J15" s="11" t="inlineStr">
        <is>
          <t>Development</t>
        </is>
      </c>
    </row>
    <row r="16">
      <c r="A16" s="11" t="n">
        <v>221</v>
      </c>
      <c r="B16" s="11" t="inlineStr">
        <is>
          <t>Advanced Quant</t>
        </is>
      </c>
      <c r="C16" s="11" t="inlineStr">
        <is>
          <t>AD-02</t>
        </is>
      </c>
      <c r="D16" s="11" t="inlineStr">
        <is>
          <t>Alternative Data</t>
        </is>
      </c>
      <c r="E16" s="11" t="inlineStr">
        <is>
          <t>Alt-data sources</t>
        </is>
      </c>
      <c r="F16" s="13" t="n">
        <v>0</v>
      </c>
      <c r="G16" s="11" t="inlineStr"/>
      <c r="H16" s="11" t="inlineStr">
        <is>
          <t>None</t>
        </is>
      </c>
      <c r="I16" s="11" t="inlineStr">
        <is>
          <t>Add sources</t>
        </is>
      </c>
      <c r="J16" s="11" t="inlineStr">
        <is>
          <t>Development</t>
        </is>
      </c>
    </row>
    <row r="17">
      <c r="A17" s="11" t="n">
        <v>222</v>
      </c>
      <c r="B17" s="11" t="inlineStr">
        <is>
          <t>Advanced Quant</t>
        </is>
      </c>
      <c r="C17" s="11" t="inlineStr">
        <is>
          <t>DP-22</t>
        </is>
      </c>
      <c r="D17" s="11" t="inlineStr">
        <is>
          <t>Data Platform</t>
        </is>
      </c>
      <c r="E17" s="11" t="inlineStr">
        <is>
          <t>Point-in-time data lake</t>
        </is>
      </c>
      <c r="F17" s="13" t="n">
        <v>0.05</v>
      </c>
      <c r="G17" s="11" t="inlineStr"/>
      <c r="H17" s="11" t="inlineStr">
        <is>
          <t>SQLite only</t>
        </is>
      </c>
      <c r="I17" s="11" t="inlineStr">
        <is>
          <t>Parquet/DuckDB store</t>
        </is>
      </c>
      <c r="J17" s="11" t="inlineStr">
        <is>
          <t>Development</t>
        </is>
      </c>
    </row>
    <row r="18">
      <c r="A18" s="11" t="n">
        <v>223</v>
      </c>
      <c r="B18" s="11" t="inlineStr">
        <is>
          <t>Advanced Quant</t>
        </is>
      </c>
      <c r="C18" s="11" t="inlineStr">
        <is>
          <t>DP-21</t>
        </is>
      </c>
      <c r="D18" s="11" t="inlineStr">
        <is>
          <t>Data Platform</t>
        </is>
      </c>
      <c r="E18" s="11" t="inlineStr">
        <is>
          <t>Multi-asset data</t>
        </is>
      </c>
      <c r="F18" s="13" t="n">
        <v>0</v>
      </c>
      <c r="G18" s="11" t="inlineStr"/>
      <c r="H18" s="11" t="inlineStr">
        <is>
          <t>Global display tickers only</t>
        </is>
      </c>
      <c r="I18" s="11" t="inlineStr">
        <is>
          <t>MCX/CDS/bond/MF feeds</t>
        </is>
      </c>
      <c r="J18" s="11" t="inlineStr">
        <is>
          <t>Development</t>
        </is>
      </c>
    </row>
    <row r="19">
      <c r="A19" s="11" t="n">
        <v>228</v>
      </c>
      <c r="B19" s="11" t="inlineStr">
        <is>
          <t>Production Hardening</t>
        </is>
      </c>
      <c r="C19" s="11" t="inlineStr">
        <is>
          <t>API-06</t>
        </is>
      </c>
      <c r="D19" s="11" t="inlineStr">
        <is>
          <t>APIs</t>
        </is>
      </c>
      <c r="E19" s="11" t="inlineStr">
        <is>
          <t>Widget JSON schemas</t>
        </is>
      </c>
      <c r="F19" s="13" t="n">
        <v>0.05</v>
      </c>
      <c r="G19" s="11" t="inlineStr"/>
      <c r="H19" s="11" t="inlineStr">
        <is>
          <t>None</t>
        </is>
      </c>
      <c r="I19" s="11" t="inlineStr">
        <is>
          <t>Define schemas</t>
        </is>
      </c>
      <c r="J19" s="11" t="inlineStr">
        <is>
          <t>Development</t>
        </is>
      </c>
    </row>
    <row r="20">
      <c r="A20" s="11" t="n">
        <v>231</v>
      </c>
      <c r="B20" s="11" t="inlineStr">
        <is>
          <t>Enterprise SaaS (final objective)</t>
        </is>
      </c>
      <c r="C20" s="11" t="inlineStr">
        <is>
          <t>DBS-05</t>
        </is>
      </c>
      <c r="D20" s="11" t="inlineStr">
        <is>
          <t>Database</t>
        </is>
      </c>
      <c r="E20" s="11" t="inlineStr">
        <is>
          <t>Scalable database</t>
        </is>
      </c>
      <c r="F20" s="13" t="n">
        <v>0</v>
      </c>
      <c r="G20" s="11" t="inlineStr"/>
      <c r="H20" s="11" t="inlineStr">
        <is>
          <t>SQLite</t>
        </is>
      </c>
      <c r="I20" s="11" t="inlineStr">
        <is>
          <t>Migrate to Postgres</t>
        </is>
      </c>
      <c r="J20" s="11" t="inlineStr">
        <is>
          <t>Owner: Move to Postgres</t>
        </is>
      </c>
    </row>
    <row r="21">
      <c r="A21" s="11" t="n">
        <v>237</v>
      </c>
      <c r="B21" s="11" t="inlineStr">
        <is>
          <t>Enterprise SaaS (final objective)</t>
        </is>
      </c>
      <c r="C21" s="11" t="inlineStr">
        <is>
          <t>ENT-06</t>
        </is>
      </c>
      <c r="D21" s="11" t="inlineStr">
        <is>
          <t>Security</t>
        </is>
      </c>
      <c r="E21" s="11" t="inlineStr">
        <is>
          <t>Per-user broker credential vault</t>
        </is>
      </c>
      <c r="F21" s="13" t="n">
        <v>0</v>
      </c>
      <c r="G21" s="11" t="inlineStr"/>
      <c r="H21" s="11" t="inlineStr">
        <is>
          <t>Not built: per-user broker credential vault (Claude does not handle credentials)</t>
        </is>
      </c>
      <c r="I21" s="11" t="inlineStr">
        <is>
          <t>Design with the owner</t>
        </is>
      </c>
      <c r="J21" s="11" t="inlineStr">
        <is>
          <t>Owner: Design broker credential vault</t>
        </is>
      </c>
    </row>
    <row r="22">
      <c r="A22" s="11" t="n">
        <v>238</v>
      </c>
      <c r="B22" s="11" t="inlineStr">
        <is>
          <t>Enterprise SaaS (final objective)</t>
        </is>
      </c>
      <c r="C22" s="11" t="inlineStr">
        <is>
          <t>ENT-14</t>
        </is>
      </c>
      <c r="D22" s="11" t="inlineStr">
        <is>
          <t>Compliance</t>
        </is>
      </c>
      <c r="E22" s="11" t="inlineStr">
        <is>
          <t>Regulatory approvals</t>
        </is>
      </c>
      <c r="F22" s="13" t="n">
        <v>0</v>
      </c>
      <c r="G22" s="11" t="inlineStr"/>
      <c r="H22" s="11" t="inlineStr">
        <is>
          <t>None</t>
        </is>
      </c>
      <c r="I22" s="11" t="inlineStr">
        <is>
          <t>Legal review before offering to other users</t>
        </is>
      </c>
      <c r="J22" s="11" t="inlineStr">
        <is>
          <t>Owner: Legal / SEBI review</t>
        </is>
      </c>
    </row>
    <row r="23">
      <c r="A23" s="11" t="n">
        <v>239</v>
      </c>
      <c r="B23" s="11" t="inlineStr">
        <is>
          <t>Enterprise SaaS (final objective)</t>
        </is>
      </c>
      <c r="C23" s="11" t="inlineStr">
        <is>
          <t>SEC-05</t>
        </is>
      </c>
      <c r="D23" s="11" t="inlineStr">
        <is>
          <t>Security</t>
        </is>
      </c>
      <c r="E23" s="11" t="inlineStr">
        <is>
          <t>Compliance monitoring</t>
        </is>
      </c>
      <c r="F23" s="13" t="n">
        <v>0</v>
      </c>
      <c r="G23" s="11" t="inlineStr"/>
      <c r="H23" s="11" t="inlineStr">
        <is>
          <t>None</t>
        </is>
      </c>
      <c r="I23" s="11" t="inlineStr">
        <is>
          <t>Implement controls from ENT-14</t>
        </is>
      </c>
      <c r="J23" s="11" t="inlineStr">
        <is>
          <t>Development</t>
        </is>
      </c>
    </row>
    <row r="24">
      <c r="A24" s="11" t="n">
        <v>240</v>
      </c>
      <c r="B24" s="11" t="inlineStr">
        <is>
          <t>Enterprise SaaS (final objective)</t>
        </is>
      </c>
      <c r="C24" s="11" t="inlineStr">
        <is>
          <t>ENT-17</t>
        </is>
      </c>
      <c r="D24" s="11" t="inlineStr">
        <is>
          <t>Compliance</t>
        </is>
      </c>
      <c r="E24" s="11" t="inlineStr">
        <is>
          <t>Data privacy</t>
        </is>
      </c>
      <c r="F24" s="13" t="n">
        <v>0</v>
      </c>
      <c r="G24" s="11" t="inlineStr"/>
      <c r="H24" s="11" t="inlineStr">
        <is>
          <t>None</t>
        </is>
      </c>
      <c r="I24" s="11" t="inlineStr">
        <is>
          <t>Privacy policy + controls</t>
        </is>
      </c>
      <c r="J24" s="11" t="inlineStr">
        <is>
          <t>Development</t>
        </is>
      </c>
    </row>
    <row r="25">
      <c r="A25" s="11" t="n">
        <v>247</v>
      </c>
      <c r="B25" s="11" t="inlineStr">
        <is>
          <t>Enterprise SaaS (final objective)</t>
        </is>
      </c>
      <c r="C25" s="11" t="inlineStr">
        <is>
          <t>ENT-09</t>
        </is>
      </c>
      <c r="D25" s="11" t="inlineStr">
        <is>
          <t>Channels</t>
        </is>
      </c>
      <c r="E25" s="11" t="inlineStr">
        <is>
          <t>Mobile apps</t>
        </is>
      </c>
      <c r="F25" s="13" t="n">
        <v>0</v>
      </c>
      <c r="G25" s="11" t="inlineStr"/>
      <c r="H25" s="11" t="inlineStr">
        <is>
          <t>None</t>
        </is>
      </c>
      <c r="I25" s="11" t="inlineStr">
        <is>
          <t>Build apps</t>
        </is>
      </c>
      <c r="J25" s="11" t="inlineStr">
        <is>
          <t>Owner: Mobile apps</t>
        </is>
      </c>
    </row>
    <row r="26">
      <c r="A26" s="11" t="n">
        <v>250</v>
      </c>
      <c r="B26" s="11" t="inlineStr">
        <is>
          <t>Enterprise SaaS (final objective)</t>
        </is>
      </c>
      <c r="C26" s="11" t="inlineStr">
        <is>
          <t>PF-12</t>
        </is>
      </c>
      <c r="D26" s="11" t="inlineStr">
        <is>
          <t>Portfolio</t>
        </is>
      </c>
      <c r="E26" s="11" t="inlineStr">
        <is>
          <t>Multi-broker import</t>
        </is>
      </c>
      <c r="F26" s="13" t="n">
        <v>0</v>
      </c>
      <c r="G26" s="11" t="inlineStr"/>
      <c r="H26" s="11" t="inlineStr">
        <is>
          <t>None</t>
        </is>
      </c>
      <c r="I26" s="11" t="inlineStr">
        <is>
          <t>Importers</t>
        </is>
      </c>
      <c r="J26" s="11" t="inlineStr">
        <is>
          <t>Development</t>
        </is>
      </c>
    </row>
    <row r="27">
      <c r="A27" s="11" t="n">
        <v>251</v>
      </c>
      <c r="B27" s="11" t="inlineStr">
        <is>
          <t>Enterprise SaaS (final objective)</t>
        </is>
      </c>
      <c r="C27" s="11" t="inlineStr">
        <is>
          <t>BR-07</t>
        </is>
      </c>
      <c r="D27" s="11" t="inlineStr">
        <is>
          <t>Broker Integration</t>
        </is>
      </c>
      <c r="E27" s="11" t="inlineStr">
        <is>
          <t>Additional brokers</t>
        </is>
      </c>
      <c r="F27" s="13" t="n">
        <v>0</v>
      </c>
      <c r="G27" s="11" t="inlineStr"/>
      <c r="H27" s="11" t="inlineStr">
        <is>
          <t>None</t>
        </is>
      </c>
      <c r="I27" s="11" t="inlineStr">
        <is>
          <t>Adapters behind BR-03 interface</t>
        </is>
      </c>
      <c r="J27" s="11" t="inlineStr">
        <is>
          <t>Development</t>
        </is>
      </c>
    </row>
    <row r="28">
      <c r="A28" s="11" t="n">
        <v>252</v>
      </c>
      <c r="B28" s="11" t="inlineStr">
        <is>
          <t>Enterprise SaaS (final objective)</t>
        </is>
      </c>
      <c r="C28" s="11" t="inlineStr">
        <is>
          <t>ENT-15</t>
        </is>
      </c>
      <c r="D28" s="11" t="inlineStr">
        <is>
          <t>Execution</t>
        </is>
      </c>
      <c r="E28" s="11" t="inlineStr">
        <is>
          <t>Multi-asset trading</t>
        </is>
      </c>
      <c r="F28" s="13" t="n">
        <v>0</v>
      </c>
      <c r="G28" s="11" t="inlineStr"/>
      <c r="H28" s="11" t="inlineStr">
        <is>
          <t>Equity cash only</t>
        </is>
      </c>
      <c r="I28" s="11" t="inlineStr">
        <is>
          <t>Asset-specific execution/risk adapters</t>
        </is>
      </c>
      <c r="J28" s="11" t="inlineStr">
        <is>
          <t>Development</t>
        </is>
      </c>
    </row>
    <row r="29">
      <c r="A29" s="11" t="n">
        <v>255</v>
      </c>
      <c r="B29" s="11" t="inlineStr">
        <is>
          <t>Enterprise SaaS (final objective)</t>
        </is>
      </c>
      <c r="C29" s="11" t="inlineStr">
        <is>
          <t>SE-10</t>
        </is>
      </c>
      <c r="D29" s="11" t="inlineStr">
        <is>
          <t>Strategy Engine</t>
        </is>
      </c>
      <c r="E29" s="11" t="inlineStr">
        <is>
          <t>No/low-code strategy builder</t>
        </is>
      </c>
      <c r="F29" s="13" t="n">
        <v>0</v>
      </c>
      <c r="G29" s="11" t="inlineStr"/>
      <c r="H29" s="11" t="inlineStr">
        <is>
          <t>None</t>
        </is>
      </c>
      <c r="I29" s="11" t="inlineStr">
        <is>
          <t>Visual builder on SE-01 interface</t>
        </is>
      </c>
      <c r="J29" s="11" t="inlineStr">
        <is>
          <t>Development</t>
        </is>
      </c>
    </row>
    <row r="30">
      <c r="A30" s="11" t="n">
        <v>256</v>
      </c>
      <c r="B30" s="11" t="inlineStr">
        <is>
          <t>Enterprise SaaS (final objective)</t>
        </is>
      </c>
      <c r="C30" s="11" t="inlineStr">
        <is>
          <t>ML-16</t>
        </is>
      </c>
      <c r="D30" s="11" t="inlineStr">
        <is>
          <t>AI/ML</t>
        </is>
      </c>
      <c r="E30" s="11" t="inlineStr">
        <is>
          <t>AI chat assistant</t>
        </is>
      </c>
      <c r="F30" s="13" t="n">
        <v>0</v>
      </c>
      <c r="G30" s="11" t="inlineStr"/>
      <c r="H30" s="11" t="inlineStr">
        <is>
          <t>None</t>
        </is>
      </c>
      <c r="I30" s="11" t="inlineStr">
        <is>
          <t>Implement</t>
        </is>
      </c>
      <c r="J30" s="11" t="inlineStr">
        <is>
          <t>Development</t>
        </is>
      </c>
    </row>
    <row r="31">
      <c r="A31" s="11" t="n">
        <v>257</v>
      </c>
      <c r="B31" s="11" t="inlineStr">
        <is>
          <t>Enterprise SaaS (final objective)</t>
        </is>
      </c>
      <c r="C31" s="11" t="inlineStr">
        <is>
          <t>OPS-04</t>
        </is>
      </c>
      <c r="D31" s="11" t="inlineStr">
        <is>
          <t>Deployment/Ops</t>
        </is>
      </c>
      <c r="E31" s="11" t="inlineStr">
        <is>
          <t>Cloud deployment</t>
        </is>
      </c>
      <c r="F31" s="13" t="n">
        <v>0</v>
      </c>
      <c r="G31" s="11" t="inlineStr"/>
      <c r="H31" s="11" t="inlineStr">
        <is>
          <t>Local Windows only</t>
        </is>
      </c>
      <c r="I31" s="11" t="inlineStr">
        <is>
          <t>Containerise; IaC; environments</t>
        </is>
      </c>
      <c r="J31" s="11" t="inlineStr">
        <is>
          <t>Owner: Cloud deployment</t>
        </is>
      </c>
    </row>
    <row r="32">
      <c r="A32" s="11" t="n">
        <v>208</v>
      </c>
      <c r="B32" s="11" t="inlineStr">
        <is>
          <t>Advanced Quant</t>
        </is>
      </c>
      <c r="C32" s="11" t="inlineStr">
        <is>
          <t>AF-06</t>
        </is>
      </c>
      <c r="D32" s="11" t="inlineStr">
        <is>
          <t>Alpha/Factor Engine</t>
        </is>
      </c>
      <c r="E32" s="11" t="inlineStr">
        <is>
          <t>Derivatives factors (BLOCKED)</t>
        </is>
      </c>
      <c r="F32" s="11" t="n">
        <v>0.2</v>
      </c>
      <c r="G32" s="11" t="inlineStr"/>
      <c r="H32" s="11" t="inlineStr">
        <is>
          <t>Black-Scholes / greeks / IV / basis maths + schema; no derivatives data</t>
        </is>
      </c>
      <c r="I32" s="11" t="inlineStr">
        <is>
          <t>Derivatives data source</t>
        </is>
      </c>
      <c r="J32" s="11" t="inlineStr">
        <is>
          <t>Owner: Derivatives data source</t>
        </is>
      </c>
    </row>
    <row r="33">
      <c r="A33" s="11" t="n">
        <v>232</v>
      </c>
      <c r="B33" s="11" t="inlineStr">
        <is>
          <t>Enterprise SaaS (final objective)</t>
        </is>
      </c>
      <c r="C33" s="11" t="inlineStr">
        <is>
          <t>ENT-07</t>
        </is>
      </c>
      <c r="D33" s="11" t="inlineStr">
        <is>
          <t>Security</t>
        </is>
      </c>
      <c r="E33" s="11" t="inlineStr">
        <is>
          <t>Secure internet exposure (BLOCKED)</t>
        </is>
      </c>
      <c r="F33" s="11" t="n">
        <v>0.05</v>
      </c>
      <c r="G33" s="11" t="inlineStr"/>
      <c r="H33" s="11" t="inlineStr">
        <is>
          <t>Not implemented by design: W7 keeps the 127.0.0.1 bind; exposure needs TLS, MFA, rate limiting, security review</t>
        </is>
      </c>
      <c r="I33" s="11" t="inlineStr">
        <is>
          <t>Owner decision + security architecture</t>
        </is>
      </c>
      <c r="J33" s="11" t="inlineStr">
        <is>
          <t>Owner: Security architecture + decision to expose</t>
        </is>
      </c>
    </row>
  </sheetData>
  <autoFilter ref="A1:J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22" customWidth="1" min="4" max="4"/>
    <col width="60" customWidth="1" min="5" max="5"/>
    <col width="24" customWidth="1" min="6" max="6"/>
    <col width="12" customWidth="1" min="7" max="7"/>
  </cols>
  <sheetData>
    <row r="1">
      <c r="A1" s="3" t="inlineStr">
        <is>
          <t>#</t>
        </is>
      </c>
      <c r="B1" s="3" t="inlineStr">
        <is>
          <t>Decision</t>
        </is>
      </c>
      <c r="C1" s="3" t="inlineStr">
        <is>
          <t>Affects</t>
        </is>
      </c>
      <c r="D1" s="3" t="inlineStr">
        <is>
          <t>Default now</t>
        </is>
      </c>
      <c r="E1" s="3" t="inlineStr">
        <is>
          <t>Why it matters</t>
        </is>
      </c>
      <c r="F1" s="3" t="inlineStr">
        <is>
          <t>Your decision</t>
        </is>
      </c>
      <c r="G1" s="3" t="inlineStr">
        <is>
          <t>Date</t>
        </is>
      </c>
    </row>
    <row r="2">
      <c r="A2" s="11" t="n">
        <v>1</v>
      </c>
      <c r="B2" s="11" t="inlineStr">
        <is>
          <t>Turn on the scheduled investor cycle (wealth.enabled)</t>
        </is>
      </c>
      <c r="C2" s="11" t="inlineStr">
        <is>
          <t>W11-W17</t>
        </is>
      </c>
      <c r="D2" s="11" t="inlineStr">
        <is>
          <t>off</t>
        </is>
      </c>
      <c r="E2" s="11" t="inlineStr">
        <is>
          <t>Daily snapshots, allocation, goal and rebalance checks, wealth alerts. Save your Investor DNA first.</t>
        </is>
      </c>
      <c r="F2" s="14" t="inlineStr"/>
      <c r="G2" s="14" t="inlineStr"/>
    </row>
    <row r="3">
      <c r="A3" s="11" t="n">
        <v>2</v>
      </c>
      <c r="B3" s="11" t="inlineStr">
        <is>
          <t>Enable Claude narration of the advisor (wealth.advisor_llm_enabled)</t>
        </is>
      </c>
      <c r="C3" s="11" t="inlineStr">
        <is>
          <t>W16</t>
        </is>
      </c>
      <c r="D3" s="11" t="inlineStr">
        <is>
          <t>off</t>
        </is>
      </c>
      <c r="E3" s="11" t="inlineStr">
        <is>
          <t>Sends your holdings/goals evidence pack to Anthropic; needs a working API key.</t>
        </is>
      </c>
      <c r="F3" s="14" t="inlineStr"/>
      <c r="G3" s="14" t="inlineStr"/>
    </row>
    <row r="4">
      <c r="A4" s="11" t="n">
        <v>3</v>
      </c>
      <c r="B4" s="11" t="inlineStr">
        <is>
          <t>Provide a working Anthropic API key</t>
        </is>
      </c>
      <c r="C4" s="11" t="inlineStr">
        <is>
          <t>NS-02..04, W16</t>
        </is>
      </c>
      <c r="D4" s="11" t="inlineStr">
        <is>
          <t>key returns 401</t>
        </is>
      </c>
      <c r="E4" s="11" t="inlineStr">
        <is>
          <t>News classification/summary and advisor narration are all blocked; the news catch-up is slow while every call fails.</t>
        </is>
      </c>
      <c r="F4" s="14" t="inlineStr"/>
      <c r="G4" s="14" t="inlineStr"/>
    </row>
    <row r="5">
      <c r="A5" s="11" t="n">
        <v>4</v>
      </c>
      <c r="B5" s="11" t="inlineStr">
        <is>
          <t>VWAP inside the Technical Score (technical.vwap_in_score)</t>
        </is>
      </c>
      <c r="C5" s="11" t="inlineStr">
        <is>
          <t>TA-03</t>
        </is>
      </c>
      <c r="D5" s="11" t="inlineStr">
        <is>
          <t>off</t>
        </is>
      </c>
      <c r="E5" s="11" t="inlineStr">
        <is>
          <t>Changes every Technical Score, ATIP score and signal.</t>
        </is>
      </c>
      <c r="F5" s="14" t="inlineStr"/>
      <c r="G5" s="14" t="inlineStr"/>
    </row>
    <row r="6">
      <c r="A6" s="11" t="n">
        <v>5</v>
      </c>
      <c r="B6" s="11" t="inlineStr">
        <is>
          <t>prices_daily retention &gt;= 1,100 days</t>
        </is>
      </c>
      <c r="C6" s="11" t="inlineStr">
        <is>
          <t>TA-09</t>
        </is>
      </c>
      <c r="D6" s="11" t="inlineStr">
        <is>
          <t>600 days</t>
        </is>
      </c>
      <c r="E6" s="11" t="inlineStr">
        <is>
          <t>Needed for a true 3-year beta; roughly doubles the database.</t>
        </is>
      </c>
      <c r="F6" s="14" t="inlineStr"/>
      <c r="G6" s="14" t="inlineStr"/>
    </row>
    <row r="7">
      <c r="A7" s="11" t="n">
        <v>6</v>
      </c>
      <c r="B7" s="11" t="inlineStr">
        <is>
          <t>Run the technical backfill (python -m data.technical --backfill 426)</t>
        </is>
      </c>
      <c r="C7" s="11" t="inlineStr">
        <is>
          <t>TA-12</t>
        </is>
      </c>
      <c r="D7" s="11" t="inlineStr">
        <is>
          <t>not run</t>
        </is>
      </c>
      <c r="E7" s="11" t="inlineStr">
        <is>
          <t>Heavy; off-hours, on a copy first.</t>
        </is>
      </c>
      <c r="F7" s="14" t="inlineStr"/>
      <c r="G7" s="14" t="inlineStr"/>
    </row>
    <row r="8">
      <c r="A8" s="11" t="n">
        <v>7</v>
      </c>
      <c r="B8" s="11" t="inlineStr">
        <is>
          <t>Run the factor backfill + research report</t>
        </is>
      </c>
      <c r="C8" s="11" t="inlineStr">
        <is>
          <t>QR-01..03, AF-08, MON-05</t>
        </is>
      </c>
      <c r="D8" s="11" t="inlineStr">
        <is>
          <t>25 sessions only</t>
        </is>
      </c>
      <c r="E8" s="11" t="inlineStr">
        <is>
          <t>~40 s per session for 13 factors; several hours for full history.</t>
        </is>
      </c>
      <c r="F8" s="14" t="inlineStr"/>
      <c r="G8" s="14" t="inlineStr"/>
    </row>
    <row r="9">
      <c r="A9" s="11" t="n">
        <v>8</v>
      </c>
      <c r="B9" s="11" t="inlineStr">
        <is>
          <t>Require approved factors for strategies (quant.require_approved_factors)</t>
        </is>
      </c>
      <c r="C9" s="11" t="inlineStr">
        <is>
          <t>AF-08</t>
        </is>
      </c>
      <c r="D9" s="11" t="inlineStr">
        <is>
          <t>off</t>
        </is>
      </c>
      <c r="E9" s="11" t="inlineStr">
        <is>
          <t>Blocks promotion of strategies that use unapproved factors.</t>
        </is>
      </c>
      <c r="F9" s="14" t="inlineStr"/>
      <c r="G9" s="14" t="inlineStr"/>
    </row>
    <row r="10">
      <c r="A10" s="11" t="n">
        <v>9</v>
      </c>
      <c r="B10" s="11" t="inlineStr">
        <is>
          <t>Daily anomaly scan (ml.anomalies_enabled)</t>
        </is>
      </c>
      <c r="C10" s="11" t="inlineStr">
        <is>
          <t>ML-06</t>
        </is>
      </c>
      <c r="D10" s="11" t="inlineStr">
        <is>
          <t>off</t>
        </is>
      </c>
      <c r="E10" s="11" t="inlineStr">
        <is>
          <t>Flags unusual price/volume days.</t>
        </is>
      </c>
      <c r="F10" s="14" t="inlineStr"/>
      <c r="G10" s="14" t="inlineStr"/>
    </row>
    <row r="11">
      <c r="A11" s="11" t="n">
        <v>10</v>
      </c>
      <c r="B11" s="11" t="inlineStr">
        <is>
          <t>Activate an ML model / choose the ML regime provider</t>
        </is>
      </c>
      <c r="C11" s="11" t="inlineStr">
        <is>
          <t>SE-05, ML-05</t>
        </is>
      </c>
      <c r="D11" s="11" t="inlineStr">
        <is>
          <t>none active</t>
        </is>
      </c>
      <c r="E11" s="11" t="inlineStr">
        <is>
          <t>Validation shows NO_EDGE today: keep off until a report shows EDGE.</t>
        </is>
      </c>
      <c r="F11" s="14" t="inlineStr"/>
      <c r="G11" s="14" t="inlineStr"/>
    </row>
    <row r="12">
      <c r="A12" s="11" t="n">
        <v>11</v>
      </c>
      <c r="B12" s="11" t="inlineStr">
        <is>
          <t>Set the W25 pre-trade limits (volatility / ADV / correlation / portfolio VaR) and portfolio_risk.snapshot_enabled</t>
        </is>
      </c>
      <c r="C12" s="11" t="inlineStr">
        <is>
          <t>RK-09..12</t>
        </is>
      </c>
      <c r="D12" s="11" t="inlineStr">
        <is>
          <t>all off</t>
        </is>
      </c>
      <c r="E12" s="11" t="inlineStr">
        <is>
          <t>New pre-trade limits and the daily risk snapshot; suggested start: ADV 5%, VaR alert 2% of equity.</t>
        </is>
      </c>
      <c r="F12" s="14" t="inlineStr"/>
      <c r="G12" s="14" t="inlineStr"/>
    </row>
    <row r="13">
      <c r="A13" s="11" t="n">
        <v>12</v>
      </c>
      <c r="B13" s="11" t="inlineStr">
        <is>
          <t>Deploy W25 (portfolio risk)</t>
        </is>
      </c>
      <c r="C13" s="11" t="inlineStr">
        <is>
          <t>W25</t>
        </is>
      </c>
      <c r="D13" s="11" t="inlineStr">
        <is>
          <t>branch only</t>
        </is>
      </c>
      <c r="E13" s="11" t="inlineStr">
        <is>
          <t>Merge w25-portfolio-risk to master and deploy with deploy_release.ps1.</t>
        </is>
      </c>
      <c r="F13" s="14" t="inlineStr"/>
      <c r="G13" s="14" t="inlineStr"/>
    </row>
    <row r="14">
      <c r="A14" s="11" t="n">
        <v>13</v>
      </c>
      <c r="B14" s="11" t="inlineStr">
        <is>
          <t>Enable fundamentals ingestion</t>
        </is>
      </c>
      <c r="C14" s="11" t="inlineStr">
        <is>
          <t>DP-15, SC-13, SC-02, AF-05</t>
        </is>
      </c>
      <c r="D14" s="11" t="inlineStr">
        <is>
          <t>disabled</t>
        </is>
      </c>
      <c r="E14" s="11" t="inlineStr">
        <is>
          <t>Unlocks the fundamental score, SPI and value/quality factors.</t>
        </is>
      </c>
      <c r="F14" s="14" t="inlineStr"/>
      <c r="G14" s="14" t="inlineStr"/>
    </row>
    <row r="15">
      <c r="A15" s="11" t="n">
        <v>14</v>
      </c>
      <c r="B15" s="11" t="inlineStr">
        <is>
          <t>Choose a derivatives data source</t>
        </is>
      </c>
      <c r="C15" s="11" t="inlineStr">
        <is>
          <t>DP-08, AF-06, QR-10, SC-06</t>
        </is>
      </c>
      <c r="D15" s="11" t="inlineStr">
        <is>
          <t>none</t>
        </is>
      </c>
      <c r="E15" s="11" t="inlineStr">
        <is>
          <t>Options/futures analytics and PCR are blocked without it.</t>
        </is>
      </c>
      <c r="F15" s="14" t="inlineStr"/>
      <c r="G15" s="14" t="inlineStr"/>
    </row>
    <row r="16">
      <c r="A16" s="11" t="n">
        <v>15</v>
      </c>
      <c r="B16" s="11" t="inlineStr">
        <is>
          <t>Fix the Dhan intraday bar fetch (dhan_15min_bars fails with 0 rows)</t>
        </is>
      </c>
      <c r="C16" s="11" t="inlineStr">
        <is>
          <t>DP-03, TA-03 session VWAP</t>
        </is>
      </c>
      <c r="D16" s="11" t="inlineStr">
        <is>
          <t>failing since 2026-09-25 or earlier</t>
        </is>
      </c>
      <c r="E16" s="11" t="inlineStr">
        <is>
          <t>Storage is live; no bars arrive until the broker intraday call works (subscription?).</t>
        </is>
      </c>
      <c r="F16" s="14" t="inlineStr"/>
      <c r="G16" s="14" t="inlineStr"/>
    </row>
    <row r="17">
      <c r="A17" s="11" t="n">
        <v>16</v>
      </c>
      <c r="B17" s="11" t="inlineStr">
        <is>
          <t>Security architecture + decision to expose ATIP</t>
        </is>
      </c>
      <c r="C17" s="11" t="inlineStr">
        <is>
          <t>ENT-07, ENT-08, OPS-04</t>
        </is>
      </c>
      <c r="D17" s="11" t="inlineStr">
        <is>
          <t>localhost only</t>
        </is>
      </c>
      <c r="E17" s="11" t="inlineStr">
        <is>
          <t>Gate for any multi-user / internet use.</t>
        </is>
      </c>
      <c r="F17" s="14" t="inlineStr"/>
      <c r="G17" s="14" t="inlineStr"/>
    </row>
    <row r="18">
      <c r="A18" s="11" t="n">
        <v>17</v>
      </c>
      <c r="B18" s="11" t="inlineStr">
        <is>
          <t>Payment gateway; legal / SEBI review</t>
        </is>
      </c>
      <c r="C18" s="11" t="inlineStr">
        <is>
          <t>ENT-04, ENT-14</t>
        </is>
      </c>
      <c r="D18" s="11" t="inlineStr">
        <is>
          <t>not started</t>
        </is>
      </c>
      <c r="E18" s="11" t="inlineStr">
        <is>
          <t>Needed before offering ATIP to others.</t>
        </is>
      </c>
      <c r="F18" s="14" t="inlineStr"/>
      <c r="G18" s="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30" customWidth="1" min="3" max="3"/>
    <col width="10" customWidth="1" min="4" max="4"/>
    <col width="14" customWidth="1" min="5" max="5"/>
    <col width="14" customWidth="1" min="6" max="6"/>
  </cols>
  <sheetData>
    <row r="1">
      <c r="A1" s="3" t="inlineStr">
        <is>
          <t>ID</t>
        </is>
      </c>
      <c r="B1" s="3" t="inlineStr">
        <is>
          <t>Issue</t>
        </is>
      </c>
      <c r="C1" s="3" t="inlineStr">
        <is>
          <t>Where</t>
        </is>
      </c>
      <c r="D1" s="3" t="inlineStr">
        <is>
          <t>Severity</t>
        </is>
      </c>
      <c r="E1" s="3" t="inlineStr">
        <is>
          <t>Status</t>
        </is>
      </c>
      <c r="F1" s="3" t="inlineStr">
        <is>
          <t>Seen</t>
        </is>
      </c>
    </row>
    <row r="2">
      <c r="A2" s="11" t="inlineStr">
        <is>
          <t>OPS-DH15</t>
        </is>
      </c>
      <c r="B2" s="11" t="inlineStr">
        <is>
          <t>dhan_15min_bars job fails every run (0 rows) -- intraday bars cannot be stored</t>
        </is>
      </c>
      <c r="C2" s="11" t="inlineStr">
        <is>
          <t>data/dhan.py / broker</t>
        </is>
      </c>
      <c r="D2" s="11" t="inlineStr">
        <is>
          <t>Medium</t>
        </is>
      </c>
      <c r="E2" s="11" t="inlineStr">
        <is>
          <t>OPEN</t>
        </is>
      </c>
      <c r="F2" s="11" t="inlineStr">
        <is>
          <t>2026-09-25</t>
        </is>
      </c>
    </row>
    <row r="3">
      <c r="A3" s="11" t="inlineStr">
        <is>
          <t>KD-001</t>
        </is>
      </c>
      <c r="B3" s="11" t="inlineStr">
        <is>
          <t>Anthropic API key returns 401 (news classifier, advisor narration)</t>
        </is>
      </c>
      <c r="C3" s="11" t="inlineStr">
        <is>
          <t>.env / config</t>
        </is>
      </c>
      <c r="D3" s="11" t="inlineStr">
        <is>
          <t>Medium</t>
        </is>
      </c>
      <c r="E3" s="11" t="inlineStr">
        <is>
          <t>OPEN</t>
        </is>
      </c>
      <c r="F3" s="11" t="inlineStr">
        <is>
          <t>2026-09-28</t>
        </is>
      </c>
    </row>
    <row r="4">
      <c r="A4" s="11" t="inlineStr">
        <is>
          <t>W8-R4</t>
        </is>
      </c>
      <c r="B4" s="11" t="inlineStr">
        <is>
          <t>7 secrets still in config.json plaintext</t>
        </is>
      </c>
      <c r="C4" s="11" t="inlineStr">
        <is>
          <t>atip_data/config.json</t>
        </is>
      </c>
      <c r="D4" s="11" t="inlineStr">
        <is>
          <t>Medium</t>
        </is>
      </c>
      <c r="E4" s="11" t="inlineStr">
        <is>
          <t>OPEN</t>
        </is>
      </c>
      <c r="F4" s="11" t="inlineStr">
        <is>
          <t>2026-09-28</t>
        </is>
      </c>
    </row>
    <row r="5">
      <c r="A5" s="11" t="inlineStr">
        <is>
          <t>WLT-1</t>
        </is>
      </c>
      <c r="B5" s="11" t="inlineStr">
        <is>
          <t>LIVE ledger sells inferred at the close until contract notes are entered</t>
        </is>
      </c>
      <c r="C5" s="11" t="inlineStr">
        <is>
          <t>wealth/perf/ledger.py</t>
        </is>
      </c>
      <c r="D5" s="11" t="inlineStr">
        <is>
          <t>Medium</t>
        </is>
      </c>
      <c r="E5" s="11" t="inlineStr">
        <is>
          <t>OPEN</t>
        </is>
      </c>
      <c r="F5" s="11" t="inlineStr">
        <is>
          <t>2026-09-26</t>
        </is>
      </c>
    </row>
    <row r="6">
      <c r="A6" s="11" t="inlineStr">
        <is>
          <t>WLT-3</t>
        </is>
      </c>
      <c r="B6" s="11" t="inlineStr">
        <is>
          <t>DNA / allocation / scenario methodology not validated against outcomes</t>
        </is>
      </c>
      <c r="C6" s="11" t="inlineStr">
        <is>
          <t>wealth/</t>
        </is>
      </c>
      <c r="D6" s="11" t="inlineStr">
        <is>
          <t>Medium</t>
        </is>
      </c>
      <c r="E6" s="11" t="inlineStr">
        <is>
          <t>OPEN</t>
        </is>
      </c>
      <c r="F6" s="11" t="inlineStr">
        <is>
          <t>2026-09-26</t>
        </is>
      </c>
    </row>
    <row r="7">
      <c r="A7" s="11" t="inlineStr">
        <is>
          <t>ML-EDGE</t>
        </is>
      </c>
      <c r="B7" s="11" t="inlineStr">
        <is>
          <t>First ML models show NO_EDGE out of sample on 5-day direction</t>
        </is>
      </c>
      <c r="C7" s="11" t="inlineStr">
        <is>
          <t>ml/</t>
        </is>
      </c>
      <c r="D7" s="11" t="inlineStr">
        <is>
          <t>Info</t>
        </is>
      </c>
      <c r="E7" s="11" t="inlineStr">
        <is>
          <t>OPEN</t>
        </is>
      </c>
      <c r="F7" s="11" t="inlineStr">
        <is>
          <t>2026-09-28</t>
        </is>
      </c>
    </row>
    <row r="8">
      <c r="A8" s="11" t="inlineStr">
        <is>
          <t>QA-ALL</t>
        </is>
      </c>
      <c r="B8" s="11" t="inlineStr">
        <is>
          <t>W3-W24 not independently tested; 70-test wealth suite written, not run</t>
        </is>
      </c>
      <c r="C8" s="11" t="inlineStr">
        <is>
          <t>tests/</t>
        </is>
      </c>
      <c r="D8" s="11" t="inlineStr">
        <is>
          <t>High</t>
        </is>
      </c>
      <c r="E8" s="11" t="inlineStr">
        <is>
          <t>OPEN</t>
        </is>
      </c>
      <c r="F8" s="11" t="inlineStr">
        <is>
          <t>2026-09-28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0" customWidth="1" min="4" max="4"/>
    <col width="26" customWidth="1" min="5" max="5"/>
    <col width="30" customWidth="1" min="6" max="6"/>
  </cols>
  <sheetData>
    <row r="1">
      <c r="A1" s="3" t="inlineStr">
        <is>
          <t>Wave</t>
        </is>
      </c>
      <c r="B1" s="3" t="inlineStr">
        <is>
          <t>Scope</t>
        </is>
      </c>
      <c r="C1" s="3" t="inlineStr">
        <is>
          <t>Commit</t>
        </is>
      </c>
      <c r="D1" s="3" t="inlineStr">
        <is>
          <t>In master</t>
        </is>
      </c>
      <c r="E1" s="3" t="inlineStr">
        <is>
          <t>Deployed</t>
        </is>
      </c>
      <c r="F1" s="3" t="inlineStr">
        <is>
          <t>Testing</t>
        </is>
      </c>
    </row>
    <row r="2">
      <c r="A2" s="11" t="inlineStr">
        <is>
          <t>W1</t>
        </is>
      </c>
      <c r="B2" s="11" t="inlineStr">
        <is>
          <t>Foundation: job monitoring, alerts, P&amp;L, loss limits, sizing, data quality</t>
        </is>
      </c>
      <c r="C2" s="11" t="inlineStr">
        <is>
          <t>3c13f63</t>
        </is>
      </c>
      <c r="D2" s="11" t="inlineStr">
        <is>
          <t>yes</t>
        </is>
      </c>
      <c r="E2" s="11" t="inlineStr">
        <is>
          <t>Live since 2026-09-28 11:31 (ATIP-W24-RC1)</t>
        </is>
      </c>
      <c r="F2" s="11" t="inlineStr">
        <is>
          <t>COMPLETED</t>
        </is>
      </c>
    </row>
    <row r="3">
      <c r="A3" s="11" t="inlineStr">
        <is>
          <t>W2</t>
        </is>
      </c>
      <c r="B3" s="11" t="inlineStr">
        <is>
          <t>Research / backtesting</t>
        </is>
      </c>
      <c r="C3" s="11" t="inlineStr">
        <is>
          <t>ba4028f</t>
        </is>
      </c>
      <c r="D3" s="11" t="inlineStr">
        <is>
          <t>yes</t>
        </is>
      </c>
      <c r="E3" s="11" t="inlineStr">
        <is>
          <t>Live since 2026-09-28 11:31 (ATIP-W24-RC1)</t>
        </is>
      </c>
      <c r="F3" s="11" t="inlineStr">
        <is>
          <t>COMPLETED</t>
        </is>
      </c>
    </row>
    <row r="4">
      <c r="A4" s="11" t="inlineStr">
        <is>
          <t>W3</t>
        </is>
      </c>
      <c r="B4" s="11" t="inlineStr">
        <is>
          <t>Strategy engine</t>
        </is>
      </c>
      <c r="C4" s="11" t="inlineStr">
        <is>
          <t>d563978</t>
        </is>
      </c>
      <c r="D4" s="11" t="inlineStr">
        <is>
          <t>yes</t>
        </is>
      </c>
      <c r="E4" s="11" t="inlineStr">
        <is>
          <t>Live since 2026-09-28 11:31 (ATIP-W24-RC1)</t>
        </is>
      </c>
      <c r="F4" s="11" t="inlineStr">
        <is>
          <t>Not verified</t>
        </is>
      </c>
    </row>
    <row r="5">
      <c r="A5" s="11" t="inlineStr">
        <is>
          <t>W4</t>
        </is>
      </c>
      <c r="B5" s="11" t="inlineStr">
        <is>
          <t>Risk and execution (paper)</t>
        </is>
      </c>
      <c r="C5" s="11" t="inlineStr">
        <is>
          <t>d3b8715</t>
        </is>
      </c>
      <c r="D5" s="11" t="inlineStr">
        <is>
          <t>yes</t>
        </is>
      </c>
      <c r="E5" s="11" t="inlineStr">
        <is>
          <t>Live since 2026-09-28 11:31 (ATIP-W24-RC1)</t>
        </is>
      </c>
      <c r="F5" s="11" t="inlineStr">
        <is>
          <t>Not verified</t>
        </is>
      </c>
    </row>
    <row r="6">
      <c r="A6" s="11" t="inlineStr">
        <is>
          <t>W5</t>
        </is>
      </c>
      <c r="B6" s="11" t="inlineStr">
        <is>
          <t>AI / ML framework</t>
        </is>
      </c>
      <c r="C6" s="11" t="inlineStr">
        <is>
          <t>123b340</t>
        </is>
      </c>
      <c r="D6" s="11" t="inlineStr">
        <is>
          <t>yes</t>
        </is>
      </c>
      <c r="E6" s="11" t="inlineStr">
        <is>
          <t>Live since 2026-09-28 11:31 (ATIP-W24-RC1)</t>
        </is>
      </c>
      <c r="F6" s="11" t="inlineStr">
        <is>
          <t>Not verified</t>
        </is>
      </c>
    </row>
    <row r="7">
      <c r="A7" s="11" t="inlineStr">
        <is>
          <t>W6</t>
        </is>
      </c>
      <c r="B7" s="11" t="inlineStr">
        <is>
          <t>Advanced quant</t>
        </is>
      </c>
      <c r="C7" s="11" t="inlineStr">
        <is>
          <t>cf1997d</t>
        </is>
      </c>
      <c r="D7" s="11" t="inlineStr">
        <is>
          <t>yes</t>
        </is>
      </c>
      <c r="E7" s="11" t="inlineStr">
        <is>
          <t>Live since 2026-09-28 11:31 (ATIP-W24-RC1)</t>
        </is>
      </c>
      <c r="F7" s="11" t="inlineStr">
        <is>
          <t>Not verified</t>
        </is>
      </c>
    </row>
    <row r="8">
      <c r="A8" s="11" t="inlineStr">
        <is>
          <t>W7</t>
        </is>
      </c>
      <c r="B8" s="11" t="inlineStr">
        <is>
          <t>Enterprise layer</t>
        </is>
      </c>
      <c r="C8" s="11" t="inlineStr">
        <is>
          <t>3e52bea</t>
        </is>
      </c>
      <c r="D8" s="11" t="inlineStr">
        <is>
          <t>yes</t>
        </is>
      </c>
      <c r="E8" s="11" t="inlineStr">
        <is>
          <t>Live since 2026-09-28 11:31 (ATIP-W24-RC1)</t>
        </is>
      </c>
      <c r="F8" s="11" t="inlineStr">
        <is>
          <t>Not verified</t>
        </is>
      </c>
    </row>
    <row r="9">
      <c r="A9" s="11" t="inlineStr">
        <is>
          <t>W8</t>
        </is>
      </c>
      <c r="B9" s="11" t="inlineStr">
        <is>
          <t>Production hardening</t>
        </is>
      </c>
      <c r="C9" s="11" t="inlineStr">
        <is>
          <t>a7d7187</t>
        </is>
      </c>
      <c r="D9" s="11" t="inlineStr">
        <is>
          <t>yes</t>
        </is>
      </c>
      <c r="E9" s="11" t="inlineStr">
        <is>
          <t>Live since 2026-09-28 11:31 (ATIP-W24-RC1)</t>
        </is>
      </c>
      <c r="F9" s="11" t="inlineStr">
        <is>
          <t>Not verified</t>
        </is>
      </c>
    </row>
    <row r="10">
      <c r="A10" s="11" t="inlineStr">
        <is>
          <t>W9</t>
        </is>
      </c>
      <c r="B10" s="11" t="inlineStr">
        <is>
          <t>Release readiness, live-trading master switch</t>
        </is>
      </c>
      <c r="C10" s="11" t="inlineStr">
        <is>
          <t>24943f3</t>
        </is>
      </c>
      <c r="D10" s="11" t="inlineStr">
        <is>
          <t>yes</t>
        </is>
      </c>
      <c r="E10" s="11" t="inlineStr">
        <is>
          <t>Live since 2026-09-28 11:31 (ATIP-W24-RC1)</t>
        </is>
      </c>
      <c r="F10" s="11" t="inlineStr">
        <is>
          <t>Not verified</t>
        </is>
      </c>
    </row>
    <row r="11">
      <c r="A11" s="11" t="inlineStr">
        <is>
          <t>W11</t>
        </is>
      </c>
      <c r="B11" s="11" t="inlineStr">
        <is>
          <t>Investor DNA</t>
        </is>
      </c>
      <c r="C11" s="11" t="inlineStr">
        <is>
          <t>1da609f</t>
        </is>
      </c>
      <c r="D11" s="11" t="inlineStr">
        <is>
          <t>yes</t>
        </is>
      </c>
      <c r="E11" s="11" t="inlineStr">
        <is>
          <t>Live since 2026-09-28 11:31 (ATIP-W24-RC1)</t>
        </is>
      </c>
      <c r="F11" s="11" t="inlineStr">
        <is>
          <t>Not verified</t>
        </is>
      </c>
    </row>
    <row r="12">
      <c r="A12" s="11" t="inlineStr">
        <is>
          <t>W12</t>
        </is>
      </c>
      <c r="B12" s="11" t="inlineStr">
        <is>
          <t>Multi-asset wealth dashboard</t>
        </is>
      </c>
      <c r="C12" s="11" t="inlineStr">
        <is>
          <t>45f0b4b</t>
        </is>
      </c>
      <c r="D12" s="11" t="inlineStr">
        <is>
          <t>yes</t>
        </is>
      </c>
      <c r="E12" s="11" t="inlineStr">
        <is>
          <t>Live since 2026-09-28 11:31 (ATIP-W24-RC1)</t>
        </is>
      </c>
      <c r="F12" s="11" t="inlineStr">
        <is>
          <t>Not verified</t>
        </is>
      </c>
    </row>
    <row r="13">
      <c r="A13" s="11" t="inlineStr">
        <is>
          <t>W13</t>
        </is>
      </c>
      <c r="B13" s="11" t="inlineStr">
        <is>
          <t>Goal planning</t>
        </is>
      </c>
      <c r="C13" s="11" t="inlineStr">
        <is>
          <t>9680ee6</t>
        </is>
      </c>
      <c r="D13" s="11" t="inlineStr">
        <is>
          <t>yes</t>
        </is>
      </c>
      <c r="E13" s="11" t="inlineStr">
        <is>
          <t>Live since 2026-09-28 11:31 (ATIP-W24-RC1)</t>
        </is>
      </c>
      <c r="F13" s="11" t="inlineStr">
        <is>
          <t>Not verified</t>
        </is>
      </c>
    </row>
    <row r="14">
      <c r="A14" s="11" t="inlineStr">
        <is>
          <t>W14</t>
        </is>
      </c>
      <c r="B14" s="11" t="inlineStr">
        <is>
          <t>Dynamic asset allocation</t>
        </is>
      </c>
      <c r="C14" s="11" t="inlineStr">
        <is>
          <t>c790b95</t>
        </is>
      </c>
      <c r="D14" s="11" t="inlineStr">
        <is>
          <t>yes</t>
        </is>
      </c>
      <c r="E14" s="11" t="inlineStr">
        <is>
          <t>Live since 2026-09-28 11:31 (ATIP-W24-RC1)</t>
        </is>
      </c>
      <c r="F14" s="11" t="inlineStr">
        <is>
          <t>Not verified</t>
        </is>
      </c>
    </row>
    <row r="15">
      <c r="A15" s="11" t="inlineStr">
        <is>
          <t>W15</t>
        </is>
      </c>
      <c r="B15" s="11" t="inlineStr">
        <is>
          <t>Rebalancing</t>
        </is>
      </c>
      <c r="C15" s="11" t="inlineStr">
        <is>
          <t>643ad57</t>
        </is>
      </c>
      <c r="D15" s="11" t="inlineStr">
        <is>
          <t>yes</t>
        </is>
      </c>
      <c r="E15" s="11" t="inlineStr">
        <is>
          <t>Live since 2026-09-28 11:31 (ATIP-W24-RC1)</t>
        </is>
      </c>
      <c r="F15" s="11" t="inlineStr">
        <is>
          <t>Not verified</t>
        </is>
      </c>
    </row>
    <row r="16">
      <c r="A16" s="11" t="inlineStr">
        <is>
          <t>W15.5</t>
        </is>
      </c>
      <c r="B16" s="11" t="inlineStr">
        <is>
          <t>Performance attribution</t>
        </is>
      </c>
      <c r="C16" s="11" t="inlineStr">
        <is>
          <t>8210de6</t>
        </is>
      </c>
      <c r="D16" s="11" t="inlineStr">
        <is>
          <t>yes</t>
        </is>
      </c>
      <c r="E16" s="11" t="inlineStr">
        <is>
          <t>Live since 2026-09-28 11:31 (ATIP-W24-RC1)</t>
        </is>
      </c>
      <c r="F16" s="11" t="inlineStr">
        <is>
          <t>Not verified</t>
        </is>
      </c>
    </row>
    <row r="17">
      <c r="A17" s="11" t="inlineStr">
        <is>
          <t>W16</t>
        </is>
      </c>
      <c r="B17" s="11" t="inlineStr">
        <is>
          <t>Explainable advisor</t>
        </is>
      </c>
      <c r="C17" s="11" t="inlineStr">
        <is>
          <t>4340cc8</t>
        </is>
      </c>
      <c r="D17" s="11" t="inlineStr">
        <is>
          <t>yes</t>
        </is>
      </c>
      <c r="E17" s="11" t="inlineStr">
        <is>
          <t>Live since 2026-09-28 11:31 (ATIP-W24-RC1)</t>
        </is>
      </c>
      <c r="F17" s="11" t="inlineStr">
        <is>
          <t>Not verified</t>
        </is>
      </c>
    </row>
    <row r="18">
      <c r="A18" s="11" t="inlineStr">
        <is>
          <t>W17</t>
        </is>
      </c>
      <c r="B18" s="11" t="inlineStr">
        <is>
          <t>Integrated intelligence</t>
        </is>
      </c>
      <c r="C18" s="11" t="inlineStr">
        <is>
          <t>8346d8d</t>
        </is>
      </c>
      <c r="D18" s="11" t="inlineStr">
        <is>
          <t>yes</t>
        </is>
      </c>
      <c r="E18" s="11" t="inlineStr">
        <is>
          <t>Live since 2026-09-28 11:31 (ATIP-W24-RC1)</t>
        </is>
      </c>
      <c r="F18" s="11" t="inlineStr">
        <is>
          <t>Smoke only</t>
        </is>
      </c>
    </row>
    <row r="19">
      <c r="A19" s="11" t="inlineStr">
        <is>
          <t>W18</t>
        </is>
      </c>
      <c r="B19" s="11" t="inlineStr">
        <is>
          <t>QA suite + security fixes</t>
        </is>
      </c>
      <c r="C19" s="11" t="inlineStr">
        <is>
          <t>757116e</t>
        </is>
      </c>
      <c r="D19" s="11" t="inlineStr">
        <is>
          <t>yes</t>
        </is>
      </c>
      <c r="E19" s="11" t="inlineStr">
        <is>
          <t>Live since 2026-09-28 11:31 (ATIP-W24-RC1)</t>
        </is>
      </c>
      <c r="F19" s="11" t="inlineStr">
        <is>
          <t>Suite not run</t>
        </is>
      </c>
    </row>
    <row r="20">
      <c r="A20" s="11" t="inlineStr">
        <is>
          <t>W19</t>
        </is>
      </c>
      <c r="B20" s="11" t="inlineStr">
        <is>
          <t>UAT tooling</t>
        </is>
      </c>
      <c r="C20" s="11" t="inlineStr">
        <is>
          <t>7c837be</t>
        </is>
      </c>
      <c r="D20" s="11" t="inlineStr">
        <is>
          <t>yes</t>
        </is>
      </c>
      <c r="E20" s="11" t="inlineStr">
        <is>
          <t>Live since 2026-09-28 11:31 (ATIP-W24-RC1)</t>
        </is>
      </c>
      <c r="F20" s="11" t="inlineStr">
        <is>
          <t>UAT not done</t>
        </is>
      </c>
    </row>
    <row r="21">
      <c r="A21" s="11" t="inlineStr">
        <is>
          <t>W20</t>
        </is>
      </c>
      <c r="B21" s="11" t="inlineStr">
        <is>
          <t>Wealth hardening, migration 0005</t>
        </is>
      </c>
      <c r="C21" s="11" t="inlineStr">
        <is>
          <t>11a8924</t>
        </is>
      </c>
      <c r="D21" s="11" t="inlineStr">
        <is>
          <t>yes</t>
        </is>
      </c>
      <c r="E21" s="11" t="inlineStr">
        <is>
          <t>Live since 2026-09-28 11:31 (ATIP-W24-RC1)</t>
        </is>
      </c>
      <c r="F21" s="11" t="inlineStr">
        <is>
          <t>Smoke only</t>
        </is>
      </c>
    </row>
    <row r="22">
      <c r="A22" s="11" t="inlineStr">
        <is>
          <t>W21</t>
        </is>
      </c>
      <c r="B22" s="11" t="inlineStr">
        <is>
          <t>Data &amp; technical analysis</t>
        </is>
      </c>
      <c r="C22" s="11" t="inlineStr">
        <is>
          <t>52893af</t>
        </is>
      </c>
      <c r="D22" s="11" t="inlineStr">
        <is>
          <t>yes</t>
        </is>
      </c>
      <c r="E22" s="11" t="inlineStr">
        <is>
          <t>Live since 2026-09-28 11:31 (ATIP-W24-RC1)</t>
        </is>
      </c>
      <c r="F22" s="11" t="inlineStr">
        <is>
          <t>Smoke only</t>
        </is>
      </c>
    </row>
    <row r="23">
      <c r="A23" s="11" t="inlineStr">
        <is>
          <t>W22</t>
        </is>
      </c>
      <c r="B23" s="11" t="inlineStr">
        <is>
          <t>Factor research platform</t>
        </is>
      </c>
      <c r="C23" s="11" t="inlineStr">
        <is>
          <t>609c6d6</t>
        </is>
      </c>
      <c r="D23" s="11" t="inlineStr">
        <is>
          <t>yes</t>
        </is>
      </c>
      <c r="E23" s="11" t="inlineStr">
        <is>
          <t>Live since 2026-09-28 11:31 (ATIP-W24-RC1)</t>
        </is>
      </c>
      <c r="F23" s="11" t="inlineStr">
        <is>
          <t>Smoke only</t>
        </is>
      </c>
    </row>
    <row r="24">
      <c r="A24" s="11" t="inlineStr">
        <is>
          <t>W23</t>
        </is>
      </c>
      <c r="B24" s="11" t="inlineStr">
        <is>
          <t>Research &amp; backtesting depth</t>
        </is>
      </c>
      <c r="C24" s="11" t="inlineStr">
        <is>
          <t>c00e6a7</t>
        </is>
      </c>
      <c r="D24" s="11" t="inlineStr">
        <is>
          <t>yes</t>
        </is>
      </c>
      <c r="E24" s="11" t="inlineStr">
        <is>
          <t>Live since 2026-09-28 11:31 (ATIP-W24-RC1)</t>
        </is>
      </c>
      <c r="F24" s="11" t="inlineStr">
        <is>
          <t>Smoke only</t>
        </is>
      </c>
    </row>
    <row r="25">
      <c r="A25" s="11" t="inlineStr">
        <is>
          <t>W24</t>
        </is>
      </c>
      <c r="B25" s="11" t="inlineStr">
        <is>
          <t>Machine learning</t>
        </is>
      </c>
      <c r="C25" s="11" t="inlineStr">
        <is>
          <t>0e648af</t>
        </is>
      </c>
      <c r="D25" s="11" t="inlineStr">
        <is>
          <t>yes</t>
        </is>
      </c>
      <c r="E25" s="11" t="inlineStr">
        <is>
          <t>Live since 2026-09-28 11:31 (ATIP-W24-RC1)</t>
        </is>
      </c>
      <c r="F25" s="11" t="inlineStr">
        <is>
          <t>Smoke only</t>
        </is>
      </c>
    </row>
    <row r="26">
      <c r="A26" s="11" t="inlineStr">
        <is>
          <t>W25</t>
        </is>
      </c>
      <c r="B26" s="11" t="inlineStr">
        <is>
          <t>Portfolio risk: exposure, VaR/ES, correlation, attribution, optimiser, limits, emergency exit</t>
        </is>
      </c>
      <c r="C26" s="11" t="inlineStr">
        <is>
          <t>687b5ac</t>
        </is>
      </c>
      <c r="D26" s="11" t="inlineStr">
        <is>
          <t>no (branch w25-portfolio-risk)</t>
        </is>
      </c>
      <c r="E26" s="11" t="inlineStr">
        <is>
          <t>Not deployed - needs your authorization</t>
        </is>
      </c>
      <c r="F26" s="11" t="inlineStr">
        <is>
          <t>Smoke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2026-09-28T06:26:46Z</dcterms:created>
  <dcterms:modified xmlns:dcterms="http://purl.org/dc/terms/" xmlns:xsi="http://www.w3.org/2001/XMLSchema-instance" xsi:type="dcterms:W3CDTF">2026-09-28T06:26:46Z</dcterms:modified>
</cp:coreProperties>
</file>